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2026021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<sst xmlns="http://schemas.openxmlformats.org/spreadsheetml/2006/main" count="369" uniqueCount="159">
  <si>
    <t>澳洲果味饮料价格调研</t>
  </si>
  <si>
    <t>品类</t>
  </si>
  <si>
    <t>品牌</t>
  </si>
  <si>
    <t>品名</t>
  </si>
  <si>
    <t>规格</t>
  </si>
  <si>
    <t>促销价（＄）</t>
  </si>
  <si>
    <t>换算300ml价格（＄）</t>
  </si>
  <si>
    <t>300ml价格（￥）
1：4.8985</t>
  </si>
  <si>
    <t>产地</t>
  </si>
  <si>
    <t>销量
（u按评价数,e/k按显示销量）</t>
  </si>
  <si>
    <t>来源平台</t>
  </si>
  <si>
    <t>果汁</t>
  </si>
  <si>
    <t>山姆馆</t>
  </si>
  <si>
    <t>金晔山满满山楂汁</t>
  </si>
  <si>
    <t>310ml*24</t>
  </si>
  <si>
    <t>中国</t>
  </si>
  <si>
    <t>umall</t>
  </si>
  <si>
    <t>eBest</t>
  </si>
  <si>
    <t>金晔山满满原味山楂汁</t>
  </si>
  <si>
    <t>310ml</t>
  </si>
  <si>
    <t>300+</t>
  </si>
  <si>
    <t>kakabuy</t>
  </si>
  <si>
    <t>元气森林</t>
  </si>
  <si>
    <t>慢熬枇杷雪梨</t>
  </si>
  <si>
    <t>500ml*15</t>
  </si>
  <si>
    <t>慢熬枇杷雪梨风味饮料</t>
  </si>
  <si>
    <t>450ml</t>
  </si>
  <si>
    <t>500ml</t>
  </si>
  <si>
    <t>200+</t>
  </si>
  <si>
    <t>维C新疆玉葡萄</t>
  </si>
  <si>
    <t>400ml*15</t>
  </si>
  <si>
    <t>天山爷爷新疆玉葡萄风味饮料</t>
  </si>
  <si>
    <t>天山爷爷新疆玉葡萄复合果汁饮品</t>
  </si>
  <si>
    <t>400ml</t>
  </si>
  <si>
    <t>100+</t>
  </si>
  <si>
    <t>轻上</t>
  </si>
  <si>
    <t>车厘子双莓汁</t>
  </si>
  <si>
    <t>1L</t>
  </si>
  <si>
    <t>金银花双柚汁</t>
  </si>
  <si>
    <t>无</t>
  </si>
  <si>
    <t>杨协成</t>
  </si>
  <si>
    <t>荔枝水</t>
  </si>
  <si>
    <t>250ml*6pk</t>
  </si>
  <si>
    <t>荔枝味饮料</t>
  </si>
  <si>
    <t>甘蔗水</t>
  </si>
  <si>
    <t>清香荔枝水</t>
  </si>
  <si>
    <t>农夫山泉</t>
  </si>
  <si>
    <t>农夫果园30%混合果蔬汁葡萄味</t>
  </si>
  <si>
    <t>450ml*15</t>
  </si>
  <si>
    <t>汇源</t>
  </si>
  <si>
    <t>100%桃汁</t>
  </si>
  <si>
    <t>100%橙汁</t>
  </si>
  <si>
    <t>330ml</t>
  </si>
  <si>
    <t>康师傅</t>
  </si>
  <si>
    <t>冰糖雪梨</t>
  </si>
  <si>
    <t>500ml*2</t>
  </si>
  <si>
    <t>胖东来澳洲代购</t>
  </si>
  <si>
    <t>100%橙子复合果汁</t>
  </si>
  <si>
    <t>奥乐齐（中国）</t>
  </si>
  <si>
    <t>寻露100%福建红双柚汁</t>
  </si>
  <si>
    <t>980ml</t>
  </si>
  <si>
    <t>北冰洋</t>
  </si>
  <si>
    <t>NFC苹果汁100%纯果汁</t>
  </si>
  <si>
    <t>NFC苹果汁利乐包</t>
  </si>
  <si>
    <t>125ml*36</t>
  </si>
  <si>
    <t>美汁源</t>
  </si>
  <si>
    <t>果粒橙</t>
  </si>
  <si>
    <t>1.25L</t>
  </si>
  <si>
    <t>百香果柠檬果汁饮料</t>
  </si>
  <si>
    <t>450*12</t>
  </si>
  <si>
    <t>Qoo酷儿</t>
  </si>
  <si>
    <t>果汁饮料系列橙汁</t>
  </si>
  <si>
    <t>其他</t>
  </si>
  <si>
    <t>维他</t>
  </si>
  <si>
    <t>芒果汁</t>
  </si>
  <si>
    <t>香港</t>
  </si>
  <si>
    <t>600+</t>
  </si>
  <si>
    <t>Paldo</t>
  </si>
  <si>
    <t>儿童果汁饮料水蜜桃味</t>
  </si>
  <si>
    <t>235ml</t>
  </si>
  <si>
    <t>韩国</t>
  </si>
  <si>
    <t>海太</t>
  </si>
  <si>
    <t>梨味果汁含果肉</t>
  </si>
  <si>
    <t>238ml*12</t>
  </si>
  <si>
    <t>椰果饮料葡萄味</t>
  </si>
  <si>
    <t>238ml*6</t>
  </si>
  <si>
    <t>Woongjin</t>
  </si>
  <si>
    <t>青梅汁</t>
  </si>
  <si>
    <t>1.5L</t>
  </si>
  <si>
    <t>西柚汁</t>
  </si>
  <si>
    <t>柑橘汁</t>
  </si>
  <si>
    <t>Caffe Bene</t>
  </si>
  <si>
    <t>袋装菠萝果汁</t>
  </si>
  <si>
    <t>190ml</t>
  </si>
  <si>
    <t>DONGWON</t>
  </si>
  <si>
    <t>零卡果汁饮料</t>
  </si>
  <si>
    <t>400+</t>
  </si>
  <si>
    <t>KAGOME</t>
  </si>
  <si>
    <t>7种混合果汁</t>
  </si>
  <si>
    <t>日本</t>
  </si>
  <si>
    <t>混合果蔬汁</t>
  </si>
  <si>
    <t>200ml</t>
  </si>
  <si>
    <t>700+</t>
  </si>
  <si>
    <t>FUJIYA</t>
  </si>
  <si>
    <t>白桃果汁</t>
  </si>
  <si>
    <t>380ml</t>
  </si>
  <si>
    <t>If</t>
  </si>
  <si>
    <t>水蜜桃维C果汁</t>
  </si>
  <si>
    <t>350ml*24</t>
  </si>
  <si>
    <t>泰国</t>
  </si>
  <si>
    <t>Nudie</t>
  </si>
  <si>
    <t>纯果汁橙汁</t>
  </si>
  <si>
    <t>2L</t>
  </si>
  <si>
    <t>澳大利亚</t>
  </si>
  <si>
    <t>纯鲜橙儿童果汁</t>
  </si>
  <si>
    <t>Mildura</t>
  </si>
  <si>
    <t>新鲜果汁家庭装橙子&amp;芒果味</t>
  </si>
  <si>
    <t>3L</t>
  </si>
  <si>
    <t>Daily Juice</t>
  </si>
  <si>
    <t>家庭共享装橙汁不含果粒不添加糖</t>
  </si>
  <si>
    <t>East Coast</t>
  </si>
  <si>
    <t>早餐果汁</t>
  </si>
  <si>
    <t>换算330ml价格</t>
  </si>
  <si>
    <t>销量（按评价数）</t>
  </si>
  <si>
    <t>汽水</t>
  </si>
  <si>
    <t>珍珍</t>
  </si>
  <si>
    <t>荔枝杨梅味汽水饮料</t>
  </si>
  <si>
    <t>520ml*2</t>
  </si>
  <si>
    <t>荔枝味汽水（临期）</t>
  </si>
  <si>
    <t>广西沙糖桔味汽水</t>
  </si>
  <si>
    <t>520ml</t>
  </si>
  <si>
    <t>白桃味气泡水</t>
  </si>
  <si>
    <t>480ml*15</t>
  </si>
  <si>
    <t>白桃味苏打汽泡水0糖0卡0脂</t>
  </si>
  <si>
    <t>苏打气泡水白桃味</t>
  </si>
  <si>
    <t>可口可乐</t>
  </si>
  <si>
    <t>迷你罐芬达</t>
  </si>
  <si>
    <t>200ml*24</t>
  </si>
  <si>
    <t>芬达葡萄味汽水</t>
  </si>
  <si>
    <t>芬达橙子味碳酸饮料</t>
  </si>
  <si>
    <t>375*24</t>
  </si>
  <si>
    <t>大窑</t>
  </si>
  <si>
    <t>果味汽水</t>
  </si>
  <si>
    <t>480ml</t>
  </si>
  <si>
    <t>橙诺橙汁汽水</t>
  </si>
  <si>
    <t>果子熟了</t>
  </si>
  <si>
    <t>王爆爆汽水橘子味</t>
  </si>
  <si>
    <t>王爆爆汽水茉莉香柚味</t>
  </si>
  <si>
    <t>好望水</t>
  </si>
  <si>
    <t>望桃花</t>
  </si>
  <si>
    <t>300ml</t>
  </si>
  <si>
    <t>望山楂</t>
  </si>
  <si>
    <t>300ml*24</t>
  </si>
  <si>
    <t>HATA</t>
  </si>
  <si>
    <t>弹珠汽水柚子味</t>
  </si>
  <si>
    <t>200ml*2</t>
  </si>
  <si>
    <t>弹珠波子汽水菠萝味</t>
  </si>
  <si>
    <t>BLUE MONKEY荔枝果汁气泡饮料</t>
  </si>
  <si>
    <t>330ml*16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</si>
</sst>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8"/>
      <color rgb="FF000000"/>
      <name val="等线"/>
      <charset val="134"/>
    </font>
    <font>
      <sz val="10"/>
      <color theme="1"/>
      <name val="微软雅黑"/>
      <charset val="134"/>
    </font>
    <font>
      <sz val="12"/>
      <color rgb="FF000000"/>
      <name val="等线"/>
      <charset val="134"/>
    </font>
    <font>
      <b/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tabSelected="1" workbookViewId="0">
      <selection activeCell="A1" sqref="A1"/>
    </sheetView>
  </sheetViews>
  <sheetFormatPr defaultColWidth="8.90625" defaultRowHeight="15"/>
  <cols>
    <col min="2" max="2" width="15.125" style="1" customWidth="1"/>
    <col min="3" max="3" width="31.7109375" customWidth="1"/>
    <col min="4" max="4" width="10.234375" customWidth="1"/>
    <col min="5" max="5" width="13.015625" style="1" customWidth="1"/>
    <col min="6" max="6" width="20.65625" customWidth="1"/>
    <col min="7" max="7" width="11.015625" customWidth="1"/>
    <col min="9" max="9" width="14.125" customWidth="1"/>
    <col min="10" max="10" width="8.90625" style="1"/>
  </cols>
  <sheetData>
    <row r="1" ht="22.5" spans="1:10">
      <c r="A1" s="2" t="s">
        <v>0</v>
      </c>
      <c r="B1" s="3"/>
      <c r="C1" s="4"/>
      <c r="D1" s="4"/>
      <c r="E1" s="3"/>
      <c r="F1" s="4"/>
      <c r="G1" s="4"/>
      <c r="H1" s="4"/>
      <c r="I1" s="4"/>
    </row>
    <row r="2" ht="45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6" t="s">
        <v>9</v>
      </c>
      <c r="J2" s="5" t="s">
        <v>10</v>
      </c>
    </row>
    <row r="3" spans="1:10">
      <c r="A3" s="7" t="s">
        <v>11</v>
      </c>
      <c r="B3" s="8" t="s">
        <v>12</v>
      </c>
      <c r="C3" s="9" t="s">
        <v>13</v>
      </c>
      <c r="D3" s="9" t="s">
        <v>14</v>
      </c>
      <c r="E3" s="10">
        <v>36.99</v>
      </c>
      <c r="F3" s="11">
        <f>36.99/310/24*300</f>
        <v>1.49153225806452</v>
      </c>
      <c r="G3" s="12">
        <f t="shared" ref="G3:G54" si="0">F3*4.8985</f>
        <v>7.30627076612903</v>
      </c>
      <c r="H3" s="10" t="s">
        <v>15</v>
      </c>
      <c r="I3" s="10">
        <v>307</v>
      </c>
      <c r="J3" s="10" t="s">
        <v>16</v>
      </c>
    </row>
    <row r="4" spans="1:10">
      <c r="A4" s="13"/>
      <c r="B4" s="14"/>
      <c r="C4" s="9" t="s">
        <v>13</v>
      </c>
      <c r="D4" s="15" t="s">
        <v>14</v>
      </c>
      <c r="E4" s="10">
        <v>35.99</v>
      </c>
      <c r="F4" s="11">
        <f>35.99/310/24*300</f>
        <v>1.45120967741935</v>
      </c>
      <c r="G4" s="12">
        <f t="shared" si="0"/>
        <v>7.10875060483871</v>
      </c>
      <c r="H4" s="10" t="s">
        <v>15</v>
      </c>
      <c r="I4" s="10">
        <v>162</v>
      </c>
      <c r="J4" s="10" t="s">
        <v>17</v>
      </c>
    </row>
    <row r="5" spans="1:10">
      <c r="A5" s="13"/>
      <c r="B5" s="14"/>
      <c r="C5" s="9" t="s">
        <v>18</v>
      </c>
      <c r="D5" s="15" t="s">
        <v>19</v>
      </c>
      <c r="E5" s="10">
        <v>1.79</v>
      </c>
      <c r="F5" s="11">
        <f>1.79/310*300</f>
        <v>1.73225806451613</v>
      </c>
      <c r="G5" s="12">
        <f t="shared" si="0"/>
        <v>8.48546612903226</v>
      </c>
      <c r="H5" s="10" t="s">
        <v>15</v>
      </c>
      <c r="I5" s="10" t="s">
        <v>20</v>
      </c>
      <c r="J5" s="10" t="s">
        <v>21</v>
      </c>
    </row>
    <row r="6" spans="1:10">
      <c r="A6" s="13"/>
      <c r="B6" s="8" t="s">
        <v>22</v>
      </c>
      <c r="C6" s="15" t="s">
        <v>23</v>
      </c>
      <c r="D6" s="15" t="s">
        <v>24</v>
      </c>
      <c r="E6" s="10">
        <v>29.99</v>
      </c>
      <c r="F6" s="11">
        <f>E6/500/15*300</f>
        <v>1.1996</v>
      </c>
      <c r="G6" s="12">
        <f t="shared" si="0"/>
        <v>5.8762406</v>
      </c>
      <c r="H6" s="10" t="s">
        <v>15</v>
      </c>
      <c r="I6" s="10">
        <v>142</v>
      </c>
      <c r="J6" s="10" t="s">
        <v>16</v>
      </c>
    </row>
    <row r="7" spans="1:10">
      <c r="A7" s="13"/>
      <c r="B7" s="14"/>
      <c r="C7" s="15" t="s">
        <v>25</v>
      </c>
      <c r="D7" s="15" t="s">
        <v>26</v>
      </c>
      <c r="E7" s="10">
        <v>2.29</v>
      </c>
      <c r="F7" s="11">
        <f>2.29/450*300</f>
        <v>1.52666666666667</v>
      </c>
      <c r="G7" s="12">
        <f t="shared" si="0"/>
        <v>7.47837666666667</v>
      </c>
      <c r="H7" s="10" t="s">
        <v>15</v>
      </c>
      <c r="I7" s="10">
        <v>2481</v>
      </c>
      <c r="J7" s="10" t="s">
        <v>17</v>
      </c>
    </row>
    <row r="8" spans="1:10">
      <c r="A8" s="13"/>
      <c r="B8" s="14"/>
      <c r="C8" s="15" t="s">
        <v>23</v>
      </c>
      <c r="D8" s="15" t="s">
        <v>27</v>
      </c>
      <c r="E8" s="10">
        <v>2.49</v>
      </c>
      <c r="F8" s="11">
        <f>2.49/500*300</f>
        <v>1.494</v>
      </c>
      <c r="G8" s="12">
        <f t="shared" si="0"/>
        <v>7.318359</v>
      </c>
      <c r="H8" s="10" t="s">
        <v>15</v>
      </c>
      <c r="I8" s="10" t="s">
        <v>28</v>
      </c>
      <c r="J8" s="10" t="s">
        <v>21</v>
      </c>
    </row>
    <row r="9" spans="1:10">
      <c r="A9" s="13"/>
      <c r="B9" s="14"/>
      <c r="C9" s="15" t="s">
        <v>29</v>
      </c>
      <c r="D9" s="15" t="s">
        <v>30</v>
      </c>
      <c r="E9" s="10">
        <v>23.99</v>
      </c>
      <c r="F9" s="11">
        <f>23.99/400/15*300</f>
        <v>1.1995</v>
      </c>
      <c r="G9" s="12">
        <f t="shared" si="0"/>
        <v>5.87575075</v>
      </c>
      <c r="H9" s="10" t="s">
        <v>15</v>
      </c>
      <c r="I9" s="10">
        <v>71</v>
      </c>
      <c r="J9" s="10" t="s">
        <v>16</v>
      </c>
    </row>
    <row r="10" spans="1:10">
      <c r="A10" s="13"/>
      <c r="B10" s="14"/>
      <c r="C10" s="15" t="s">
        <v>31</v>
      </c>
      <c r="D10" s="15" t="s">
        <v>30</v>
      </c>
      <c r="E10" s="10">
        <v>31.99</v>
      </c>
      <c r="F10" s="11">
        <f>31.99/400/15*300</f>
        <v>1.5995</v>
      </c>
      <c r="G10" s="12">
        <f t="shared" si="0"/>
        <v>7.83515075</v>
      </c>
      <c r="H10" s="10" t="s">
        <v>15</v>
      </c>
      <c r="I10" s="10">
        <v>204</v>
      </c>
      <c r="J10" s="10" t="s">
        <v>17</v>
      </c>
    </row>
    <row r="11" spans="1:10">
      <c r="A11" s="13"/>
      <c r="B11" s="14"/>
      <c r="C11" s="15" t="s">
        <v>32</v>
      </c>
      <c r="D11" s="15" t="s">
        <v>33</v>
      </c>
      <c r="E11" s="10">
        <v>2.29</v>
      </c>
      <c r="F11" s="11">
        <f>2.29/400*300</f>
        <v>1.7175</v>
      </c>
      <c r="G11" s="12">
        <f t="shared" si="0"/>
        <v>8.41317375</v>
      </c>
      <c r="H11" s="10" t="s">
        <v>15</v>
      </c>
      <c r="I11" s="10" t="s">
        <v>34</v>
      </c>
      <c r="J11" s="10" t="s">
        <v>21</v>
      </c>
    </row>
    <row r="12" spans="1:10">
      <c r="A12" s="13"/>
      <c r="B12" s="8" t="s">
        <v>35</v>
      </c>
      <c r="C12" s="15" t="s">
        <v>36</v>
      </c>
      <c r="D12" s="15" t="s">
        <v>37</v>
      </c>
      <c r="E12" s="10">
        <v>3.49</v>
      </c>
      <c r="F12" s="11">
        <f>E12/1000*300</f>
        <v>1.047</v>
      </c>
      <c r="G12" s="12">
        <f t="shared" si="0"/>
        <v>5.1287295</v>
      </c>
      <c r="H12" s="10" t="s">
        <v>15</v>
      </c>
      <c r="I12" s="10">
        <v>68</v>
      </c>
      <c r="J12" s="10" t="s">
        <v>16</v>
      </c>
    </row>
    <row r="13" spans="1:10">
      <c r="A13" s="13"/>
      <c r="B13" s="14"/>
      <c r="C13" s="15" t="s">
        <v>36</v>
      </c>
      <c r="D13" s="15" t="s">
        <v>37</v>
      </c>
      <c r="E13" s="10">
        <v>3.79</v>
      </c>
      <c r="F13" s="11">
        <f>E13/1000*300</f>
        <v>1.137</v>
      </c>
      <c r="G13" s="12">
        <f t="shared" si="0"/>
        <v>5.5695945</v>
      </c>
      <c r="H13" s="10" t="s">
        <v>15</v>
      </c>
      <c r="I13" s="10">
        <v>340</v>
      </c>
      <c r="J13" s="10" t="s">
        <v>17</v>
      </c>
    </row>
    <row r="14" spans="1:10">
      <c r="A14" s="13"/>
      <c r="B14" s="14"/>
      <c r="C14" s="15" t="s">
        <v>38</v>
      </c>
      <c r="D14" s="15" t="s">
        <v>37</v>
      </c>
      <c r="E14" s="10">
        <v>3.59</v>
      </c>
      <c r="F14" s="11">
        <f>3.59/1000*300</f>
        <v>1.077</v>
      </c>
      <c r="G14" s="12">
        <f t="shared" si="0"/>
        <v>5.2756845</v>
      </c>
      <c r="H14" s="10" t="s">
        <v>15</v>
      </c>
      <c r="I14" s="10">
        <v>331</v>
      </c>
      <c r="J14" s="10" t="s">
        <v>17</v>
      </c>
    </row>
    <row r="15" spans="1:10">
      <c r="A15" s="13"/>
      <c r="B15" s="14"/>
      <c r="C15" s="15" t="s">
        <v>36</v>
      </c>
      <c r="D15" s="15" t="s">
        <v>37</v>
      </c>
      <c r="E15" s="10">
        <v>3.79</v>
      </c>
      <c r="F15" s="11">
        <f>3.79/1000*300</f>
        <v>1.137</v>
      </c>
      <c r="G15" s="12">
        <f t="shared" si="0"/>
        <v>5.5695945</v>
      </c>
      <c r="H15" s="10" t="s">
        <v>15</v>
      </c>
      <c r="I15" s="10" t="s">
        <v>39</v>
      </c>
      <c r="J15" s="10" t="s">
        <v>21</v>
      </c>
    </row>
    <row r="16" spans="1:10">
      <c r="A16" s="13"/>
      <c r="B16" s="14"/>
      <c r="C16" s="15" t="s">
        <v>38</v>
      </c>
      <c r="D16" s="15" t="s">
        <v>37</v>
      </c>
      <c r="E16" s="10">
        <v>3.79</v>
      </c>
      <c r="F16" s="11">
        <f>3.79/1000*300</f>
        <v>1.137</v>
      </c>
      <c r="G16" s="12">
        <f t="shared" si="0"/>
        <v>5.5695945</v>
      </c>
      <c r="H16" s="10" t="s">
        <v>15</v>
      </c>
      <c r="I16" s="10" t="s">
        <v>39</v>
      </c>
      <c r="J16" s="10" t="s">
        <v>21</v>
      </c>
    </row>
    <row r="17" spans="1:10">
      <c r="A17" s="13"/>
      <c r="B17" s="8" t="s">
        <v>40</v>
      </c>
      <c r="C17" s="15" t="s">
        <v>41</v>
      </c>
      <c r="D17" s="15" t="s">
        <v>42</v>
      </c>
      <c r="E17" s="10">
        <v>6.99</v>
      </c>
      <c r="F17" s="11">
        <f>E17/250/6*300</f>
        <v>1.398</v>
      </c>
      <c r="G17" s="12">
        <f t="shared" si="0"/>
        <v>6.848103</v>
      </c>
      <c r="H17" s="10" t="s">
        <v>15</v>
      </c>
      <c r="I17" s="10">
        <v>214</v>
      </c>
      <c r="J17" s="10" t="s">
        <v>16</v>
      </c>
    </row>
    <row r="18" spans="1:10">
      <c r="A18" s="13"/>
      <c r="B18" s="14"/>
      <c r="C18" s="15" t="s">
        <v>43</v>
      </c>
      <c r="D18" s="15" t="s">
        <v>42</v>
      </c>
      <c r="E18" s="10">
        <v>4.65</v>
      </c>
      <c r="F18" s="11">
        <f>E18/250/6*300</f>
        <v>0.93</v>
      </c>
      <c r="G18" s="12">
        <f t="shared" si="0"/>
        <v>4.555605</v>
      </c>
      <c r="H18" s="10" t="s">
        <v>15</v>
      </c>
      <c r="I18" s="10">
        <v>1481</v>
      </c>
      <c r="J18" s="10" t="s">
        <v>17</v>
      </c>
    </row>
    <row r="19" spans="1:10">
      <c r="A19" s="13"/>
      <c r="B19" s="14"/>
      <c r="C19" s="15" t="s">
        <v>44</v>
      </c>
      <c r="D19" s="15" t="s">
        <v>42</v>
      </c>
      <c r="E19" s="10">
        <v>6.99</v>
      </c>
      <c r="F19" s="11">
        <f>6.99/250/6*300</f>
        <v>1.398</v>
      </c>
      <c r="G19" s="12">
        <f t="shared" si="0"/>
        <v>6.848103</v>
      </c>
      <c r="H19" s="10" t="s">
        <v>15</v>
      </c>
      <c r="I19" s="10">
        <v>285</v>
      </c>
      <c r="J19" s="10" t="s">
        <v>16</v>
      </c>
    </row>
    <row r="20" spans="1:10">
      <c r="A20" s="13"/>
      <c r="B20" s="14"/>
      <c r="C20" s="15" t="s">
        <v>44</v>
      </c>
      <c r="D20" s="15" t="s">
        <v>42</v>
      </c>
      <c r="E20" s="10">
        <v>4.69</v>
      </c>
      <c r="F20" s="11">
        <f>4.69/250/6*300</f>
        <v>0.938</v>
      </c>
      <c r="G20" s="12">
        <f t="shared" si="0"/>
        <v>4.594793</v>
      </c>
      <c r="H20" s="10" t="s">
        <v>15</v>
      </c>
      <c r="I20" s="10">
        <v>2103</v>
      </c>
      <c r="J20" s="10" t="s">
        <v>17</v>
      </c>
    </row>
    <row r="21" spans="1:10">
      <c r="A21" s="13"/>
      <c r="B21" s="16"/>
      <c r="C21" s="15" t="s">
        <v>45</v>
      </c>
      <c r="D21" s="15" t="s">
        <v>42</v>
      </c>
      <c r="E21" s="10">
        <v>5.5</v>
      </c>
      <c r="F21" s="11">
        <f>5.5/250/6*300</f>
        <v>1.1</v>
      </c>
      <c r="G21" s="12">
        <f t="shared" si="0"/>
        <v>5.38835</v>
      </c>
      <c r="H21" s="10" t="s">
        <v>15</v>
      </c>
      <c r="I21" s="10" t="s">
        <v>39</v>
      </c>
      <c r="J21" s="10" t="s">
        <v>21</v>
      </c>
    </row>
    <row r="22" spans="1:10">
      <c r="A22" s="13"/>
      <c r="B22" s="10" t="s">
        <v>46</v>
      </c>
      <c r="C22" s="15" t="s">
        <v>47</v>
      </c>
      <c r="D22" s="15" t="s">
        <v>48</v>
      </c>
      <c r="E22" s="10">
        <v>15.99</v>
      </c>
      <c r="F22" s="11">
        <f>15.99/450/15*300</f>
        <v>0.710666666666667</v>
      </c>
      <c r="G22" s="12">
        <f t="shared" si="0"/>
        <v>3.48120066666667</v>
      </c>
      <c r="H22" s="10" t="s">
        <v>15</v>
      </c>
      <c r="I22" s="10">
        <v>35</v>
      </c>
      <c r="J22" s="10" t="s">
        <v>16</v>
      </c>
    </row>
    <row r="23" spans="1:10">
      <c r="A23" s="13"/>
      <c r="B23" s="8" t="s">
        <v>49</v>
      </c>
      <c r="C23" s="15" t="s">
        <v>50</v>
      </c>
      <c r="D23" s="15" t="s">
        <v>37</v>
      </c>
      <c r="E23" s="10">
        <v>4.99</v>
      </c>
      <c r="F23" s="11">
        <f>4.99/1000*300</f>
        <v>1.497</v>
      </c>
      <c r="G23" s="12">
        <f t="shared" si="0"/>
        <v>7.3330545</v>
      </c>
      <c r="H23" s="10" t="s">
        <v>15</v>
      </c>
      <c r="I23" s="10">
        <v>52</v>
      </c>
      <c r="J23" s="10" t="s">
        <v>16</v>
      </c>
    </row>
    <row r="24" spans="1:10">
      <c r="A24" s="13"/>
      <c r="B24" s="14"/>
      <c r="C24" s="15" t="s">
        <v>51</v>
      </c>
      <c r="D24" s="15" t="s">
        <v>52</v>
      </c>
      <c r="E24" s="10">
        <v>2.2</v>
      </c>
      <c r="F24" s="11">
        <f>2.2/330*300</f>
        <v>2</v>
      </c>
      <c r="G24" s="12">
        <f t="shared" si="0"/>
        <v>9.797</v>
      </c>
      <c r="H24" s="10" t="s">
        <v>15</v>
      </c>
      <c r="I24" s="10">
        <v>237</v>
      </c>
      <c r="J24" s="10" t="s">
        <v>17</v>
      </c>
    </row>
    <row r="25" spans="1:10">
      <c r="A25" s="13"/>
      <c r="B25" s="14"/>
      <c r="C25" s="15" t="s">
        <v>51</v>
      </c>
      <c r="D25" s="15" t="s">
        <v>37</v>
      </c>
      <c r="E25" s="10">
        <v>6.29</v>
      </c>
      <c r="F25" s="11">
        <f>6.29/1000*300</f>
        <v>1.887</v>
      </c>
      <c r="G25" s="12">
        <f t="shared" si="0"/>
        <v>9.2434695</v>
      </c>
      <c r="H25" s="10" t="s">
        <v>15</v>
      </c>
      <c r="I25" s="10" t="s">
        <v>39</v>
      </c>
      <c r="J25" s="10" t="s">
        <v>21</v>
      </c>
    </row>
    <row r="26" spans="1:10">
      <c r="A26" s="13"/>
      <c r="B26" s="8" t="s">
        <v>53</v>
      </c>
      <c r="C26" s="15" t="s">
        <v>54</v>
      </c>
      <c r="D26" s="15" t="s">
        <v>55</v>
      </c>
      <c r="E26" s="10">
        <v>2.59</v>
      </c>
      <c r="F26" s="11">
        <f>2.59/500/2*300</f>
        <v>0.777</v>
      </c>
      <c r="G26" s="12">
        <f t="shared" si="0"/>
        <v>3.8061345</v>
      </c>
      <c r="H26" s="10" t="s">
        <v>15</v>
      </c>
      <c r="I26" s="10">
        <v>194</v>
      </c>
      <c r="J26" s="10" t="s">
        <v>16</v>
      </c>
    </row>
    <row r="27" spans="1:10">
      <c r="A27" s="13"/>
      <c r="B27" s="14"/>
      <c r="C27" s="15" t="s">
        <v>54</v>
      </c>
      <c r="D27" s="15" t="s">
        <v>24</v>
      </c>
      <c r="E27" s="10">
        <v>14.99</v>
      </c>
      <c r="F27" s="11">
        <f>14.99/500/15*300</f>
        <v>0.5996</v>
      </c>
      <c r="G27" s="12">
        <f t="shared" si="0"/>
        <v>2.9371406</v>
      </c>
      <c r="H27" s="10" t="s">
        <v>15</v>
      </c>
      <c r="I27" s="10">
        <v>1844</v>
      </c>
      <c r="J27" s="10" t="s">
        <v>17</v>
      </c>
    </row>
    <row r="28" spans="1:10">
      <c r="A28" s="13"/>
      <c r="B28" s="16"/>
      <c r="C28" s="15" t="s">
        <v>54</v>
      </c>
      <c r="D28" s="15" t="s">
        <v>24</v>
      </c>
      <c r="E28" s="10">
        <v>14.99</v>
      </c>
      <c r="F28" s="11">
        <f>14.99/500/15*300</f>
        <v>0.5996</v>
      </c>
      <c r="G28" s="12">
        <f t="shared" si="0"/>
        <v>2.9371406</v>
      </c>
      <c r="H28" s="10" t="s">
        <v>15</v>
      </c>
      <c r="I28" s="10" t="s">
        <v>39</v>
      </c>
      <c r="J28" s="10" t="s">
        <v>21</v>
      </c>
    </row>
    <row r="29" spans="1:10">
      <c r="A29" s="13"/>
      <c r="B29" s="10" t="s">
        <v>56</v>
      </c>
      <c r="C29" s="15" t="s">
        <v>57</v>
      </c>
      <c r="D29" s="15" t="s">
        <v>37</v>
      </c>
      <c r="E29" s="17">
        <v>4.99</v>
      </c>
      <c r="F29" s="11">
        <f>4.99/1000*300</f>
        <v>1.497</v>
      </c>
      <c r="G29" s="12">
        <f t="shared" si="0"/>
        <v>7.3330545</v>
      </c>
      <c r="H29" s="10" t="s">
        <v>15</v>
      </c>
      <c r="I29" s="10">
        <v>377</v>
      </c>
      <c r="J29" s="10" t="s">
        <v>16</v>
      </c>
    </row>
    <row r="30" spans="1:10">
      <c r="A30" s="13"/>
      <c r="B30" s="18" t="s">
        <v>58</v>
      </c>
      <c r="C30" s="15" t="s">
        <v>59</v>
      </c>
      <c r="D30" s="15" t="s">
        <v>60</v>
      </c>
      <c r="E30" s="17">
        <v>5.19</v>
      </c>
      <c r="F30" s="11">
        <f>5.19/980*300</f>
        <v>1.58877551020408</v>
      </c>
      <c r="G30" s="12">
        <f t="shared" si="0"/>
        <v>7.7826168367347</v>
      </c>
      <c r="H30" s="10" t="s">
        <v>15</v>
      </c>
      <c r="I30" s="10">
        <v>116</v>
      </c>
      <c r="J30" s="10" t="s">
        <v>16</v>
      </c>
    </row>
    <row r="31" spans="1:10">
      <c r="A31" s="13"/>
      <c r="B31" s="8" t="s">
        <v>61</v>
      </c>
      <c r="C31" s="15" t="s">
        <v>62</v>
      </c>
      <c r="D31" s="15" t="s">
        <v>37</v>
      </c>
      <c r="E31" s="10">
        <v>8.99</v>
      </c>
      <c r="F31" s="11">
        <f>8.99/1000*300</f>
        <v>2.697</v>
      </c>
      <c r="G31" s="12">
        <f t="shared" si="0"/>
        <v>13.2112545</v>
      </c>
      <c r="H31" s="10" t="s">
        <v>15</v>
      </c>
      <c r="I31" s="10">
        <v>107</v>
      </c>
      <c r="J31" s="10" t="s">
        <v>17</v>
      </c>
    </row>
    <row r="32" spans="1:10">
      <c r="A32" s="13"/>
      <c r="B32" s="16"/>
      <c r="C32" s="15" t="s">
        <v>63</v>
      </c>
      <c r="D32" s="15" t="s">
        <v>64</v>
      </c>
      <c r="E32" s="10">
        <v>33.99</v>
      </c>
      <c r="F32" s="11">
        <f>33.99/125/36*300</f>
        <v>2.266</v>
      </c>
      <c r="G32" s="12">
        <f t="shared" si="0"/>
        <v>11.100001</v>
      </c>
      <c r="H32" s="10" t="s">
        <v>15</v>
      </c>
      <c r="I32" s="10">
        <v>27</v>
      </c>
      <c r="J32" s="10" t="s">
        <v>17</v>
      </c>
    </row>
    <row r="33" spans="1:10">
      <c r="A33" s="13"/>
      <c r="B33" s="16" t="s">
        <v>65</v>
      </c>
      <c r="C33" s="15" t="s">
        <v>66</v>
      </c>
      <c r="D33" s="15" t="s">
        <v>67</v>
      </c>
      <c r="E33" s="10">
        <v>3.39</v>
      </c>
      <c r="F33" s="11">
        <f>3.39/1250*300</f>
        <v>0.8136</v>
      </c>
      <c r="G33" s="12">
        <f t="shared" si="0"/>
        <v>3.9854196</v>
      </c>
      <c r="H33" s="10" t="s">
        <v>15</v>
      </c>
      <c r="I33" s="10">
        <v>9125</v>
      </c>
      <c r="J33" s="10" t="s">
        <v>17</v>
      </c>
    </row>
    <row r="34" spans="1:10">
      <c r="A34" s="13"/>
      <c r="B34" s="10"/>
      <c r="C34" s="15" t="s">
        <v>68</v>
      </c>
      <c r="D34" s="15" t="s">
        <v>69</v>
      </c>
      <c r="E34" s="10">
        <v>26.99</v>
      </c>
      <c r="F34" s="11">
        <f>26.99/450/12*300</f>
        <v>1.49944444444444</v>
      </c>
      <c r="G34" s="12">
        <f t="shared" si="0"/>
        <v>7.34502861111111</v>
      </c>
      <c r="H34" s="10" t="s">
        <v>15</v>
      </c>
      <c r="I34" s="10" t="s">
        <v>39</v>
      </c>
      <c r="J34" s="10" t="s">
        <v>21</v>
      </c>
    </row>
    <row r="35" spans="1:10">
      <c r="A35" s="13"/>
      <c r="B35" s="10" t="s">
        <v>70</v>
      </c>
      <c r="C35" s="15" t="s">
        <v>71</v>
      </c>
      <c r="D35" s="15" t="s">
        <v>26</v>
      </c>
      <c r="E35" s="10">
        <v>2.49</v>
      </c>
      <c r="F35" s="11">
        <f>2.49/450*300</f>
        <v>1.66</v>
      </c>
      <c r="G35" s="12">
        <f t="shared" si="0"/>
        <v>8.13151</v>
      </c>
      <c r="H35" s="10" t="s">
        <v>72</v>
      </c>
      <c r="I35" s="10" t="s">
        <v>20</v>
      </c>
      <c r="J35" s="10" t="s">
        <v>21</v>
      </c>
    </row>
    <row r="36" spans="1:10">
      <c r="A36" s="13"/>
      <c r="B36" s="10" t="s">
        <v>73</v>
      </c>
      <c r="C36" s="15" t="s">
        <v>74</v>
      </c>
      <c r="D36" s="15" t="s">
        <v>42</v>
      </c>
      <c r="E36" s="10">
        <v>6.99</v>
      </c>
      <c r="F36" s="11">
        <f>6.99/250/6*300</f>
        <v>1.398</v>
      </c>
      <c r="G36" s="12">
        <f t="shared" si="0"/>
        <v>6.848103</v>
      </c>
      <c r="H36" s="10" t="s">
        <v>72</v>
      </c>
      <c r="I36" s="10">
        <v>255</v>
      </c>
      <c r="J36" s="10" t="s">
        <v>16</v>
      </c>
    </row>
    <row r="37" spans="1:10">
      <c r="A37" s="13"/>
      <c r="B37" s="10"/>
      <c r="C37" s="15" t="s">
        <v>74</v>
      </c>
      <c r="D37" s="15" t="s">
        <v>42</v>
      </c>
      <c r="E37" s="10">
        <v>7.99</v>
      </c>
      <c r="F37" s="11">
        <f>7.99/250/6*300</f>
        <v>1.598</v>
      </c>
      <c r="G37" s="12">
        <f t="shared" si="0"/>
        <v>7.827803</v>
      </c>
      <c r="H37" s="10" t="s">
        <v>75</v>
      </c>
      <c r="I37" s="10" t="s">
        <v>76</v>
      </c>
      <c r="J37" s="10" t="s">
        <v>21</v>
      </c>
    </row>
    <row r="38" spans="1:10">
      <c r="A38" s="13"/>
      <c r="B38" s="10" t="s">
        <v>77</v>
      </c>
      <c r="C38" s="15" t="s">
        <v>78</v>
      </c>
      <c r="D38" s="15" t="s">
        <v>79</v>
      </c>
      <c r="E38" s="10">
        <v>2.29</v>
      </c>
      <c r="F38" s="11">
        <f>2.29/235*300</f>
        <v>2.92340425531915</v>
      </c>
      <c r="G38" s="12">
        <f t="shared" si="0"/>
        <v>14.3202957446809</v>
      </c>
      <c r="H38" s="10" t="s">
        <v>80</v>
      </c>
      <c r="I38" s="10">
        <v>37</v>
      </c>
      <c r="J38" s="10" t="s">
        <v>16</v>
      </c>
    </row>
    <row r="39" spans="1:10">
      <c r="A39" s="13"/>
      <c r="B39" s="8" t="s">
        <v>81</v>
      </c>
      <c r="C39" s="15" t="s">
        <v>82</v>
      </c>
      <c r="D39" s="15" t="s">
        <v>83</v>
      </c>
      <c r="E39" s="10">
        <v>13.99</v>
      </c>
      <c r="F39" s="11">
        <f>13.99/238/12*300</f>
        <v>1.46953781512605</v>
      </c>
      <c r="G39" s="12">
        <f t="shared" si="0"/>
        <v>7.19853098739496</v>
      </c>
      <c r="H39" s="10" t="s">
        <v>80</v>
      </c>
      <c r="I39" s="10">
        <v>479</v>
      </c>
      <c r="J39" s="10" t="s">
        <v>16</v>
      </c>
    </row>
    <row r="40" spans="1:10">
      <c r="A40" s="13"/>
      <c r="B40" s="14"/>
      <c r="C40" s="15" t="s">
        <v>84</v>
      </c>
      <c r="D40" s="15" t="s">
        <v>85</v>
      </c>
      <c r="E40" s="10">
        <v>11.99</v>
      </c>
      <c r="F40" s="11">
        <f>11.99/238/6*300</f>
        <v>2.51890756302521</v>
      </c>
      <c r="G40" s="12">
        <f t="shared" si="0"/>
        <v>12.338868697479</v>
      </c>
      <c r="H40" s="10" t="s">
        <v>80</v>
      </c>
      <c r="I40" s="10" t="s">
        <v>39</v>
      </c>
      <c r="J40" s="10" t="s">
        <v>21</v>
      </c>
    </row>
    <row r="41" spans="1:10">
      <c r="A41" s="13"/>
      <c r="B41" s="8" t="s">
        <v>86</v>
      </c>
      <c r="C41" s="15" t="s">
        <v>87</v>
      </c>
      <c r="D41" s="15" t="s">
        <v>88</v>
      </c>
      <c r="E41" s="10">
        <v>4.62</v>
      </c>
      <c r="F41" s="11">
        <f>4.62/1500*300</f>
        <v>0.924</v>
      </c>
      <c r="G41" s="12">
        <f t="shared" si="0"/>
        <v>4.526214</v>
      </c>
      <c r="H41" s="10" t="s">
        <v>80</v>
      </c>
      <c r="I41" s="10">
        <v>75</v>
      </c>
      <c r="J41" s="10" t="s">
        <v>16</v>
      </c>
    </row>
    <row r="42" spans="1:10">
      <c r="A42" s="13"/>
      <c r="B42" s="14"/>
      <c r="C42" s="15" t="s">
        <v>89</v>
      </c>
      <c r="D42" s="15" t="s">
        <v>27</v>
      </c>
      <c r="E42" s="10">
        <v>2.89</v>
      </c>
      <c r="F42" s="11">
        <f>2.89/500*300</f>
        <v>1.734</v>
      </c>
      <c r="G42" s="12">
        <f t="shared" si="0"/>
        <v>8.493999</v>
      </c>
      <c r="H42" s="10" t="s">
        <v>80</v>
      </c>
      <c r="I42" s="10">
        <v>166</v>
      </c>
      <c r="J42" s="10" t="s">
        <v>17</v>
      </c>
    </row>
    <row r="43" spans="1:10">
      <c r="A43" s="13"/>
      <c r="B43" s="16"/>
      <c r="C43" s="15" t="s">
        <v>90</v>
      </c>
      <c r="D43" s="15" t="s">
        <v>88</v>
      </c>
      <c r="E43" s="10">
        <v>5.3</v>
      </c>
      <c r="F43" s="11">
        <f>5.3/1500*300</f>
        <v>1.06</v>
      </c>
      <c r="G43" s="12">
        <f t="shared" si="0"/>
        <v>5.19241</v>
      </c>
      <c r="H43" s="10" t="s">
        <v>80</v>
      </c>
      <c r="I43" s="10">
        <v>135</v>
      </c>
      <c r="J43" s="10" t="s">
        <v>17</v>
      </c>
    </row>
    <row r="44" spans="1:10">
      <c r="A44" s="13"/>
      <c r="B44" s="16" t="s">
        <v>91</v>
      </c>
      <c r="C44" s="15" t="s">
        <v>92</v>
      </c>
      <c r="D44" s="15" t="s">
        <v>93</v>
      </c>
      <c r="E44" s="10">
        <v>1.79</v>
      </c>
      <c r="F44" s="11">
        <f>1.79/190*300</f>
        <v>2.82631578947368</v>
      </c>
      <c r="G44" s="12">
        <f t="shared" si="0"/>
        <v>13.8447078947368</v>
      </c>
      <c r="H44" s="10" t="s">
        <v>80</v>
      </c>
      <c r="I44" s="10">
        <v>810</v>
      </c>
      <c r="J44" s="10" t="s">
        <v>17</v>
      </c>
    </row>
    <row r="45" spans="1:10">
      <c r="A45" s="13"/>
      <c r="B45" s="16" t="s">
        <v>94</v>
      </c>
      <c r="C45" s="15" t="s">
        <v>95</v>
      </c>
      <c r="D45" s="15" t="s">
        <v>93</v>
      </c>
      <c r="E45" s="10">
        <v>1.99</v>
      </c>
      <c r="F45" s="11">
        <f>1.99/190*300</f>
        <v>3.14210526315789</v>
      </c>
      <c r="G45" s="12">
        <f t="shared" si="0"/>
        <v>15.3916026315789</v>
      </c>
      <c r="H45" s="10" t="s">
        <v>80</v>
      </c>
      <c r="I45" s="10" t="s">
        <v>96</v>
      </c>
      <c r="J45" s="10" t="s">
        <v>21</v>
      </c>
    </row>
    <row r="46" spans="1:10">
      <c r="A46" s="13"/>
      <c r="B46" s="8" t="s">
        <v>97</v>
      </c>
      <c r="C46" s="15" t="s">
        <v>98</v>
      </c>
      <c r="D46" s="15" t="s">
        <v>52</v>
      </c>
      <c r="E46" s="10">
        <v>4.39</v>
      </c>
      <c r="F46" s="11">
        <f>4.39/330*300</f>
        <v>3.99090909090909</v>
      </c>
      <c r="G46" s="12">
        <f t="shared" si="0"/>
        <v>19.5494681818182</v>
      </c>
      <c r="H46" s="10" t="s">
        <v>99</v>
      </c>
      <c r="I46" s="10">
        <v>87</v>
      </c>
      <c r="J46" s="10" t="s">
        <v>16</v>
      </c>
    </row>
    <row r="47" spans="1:10">
      <c r="A47" s="13"/>
      <c r="B47" s="16"/>
      <c r="C47" s="15" t="s">
        <v>100</v>
      </c>
      <c r="D47" s="15" t="s">
        <v>101</v>
      </c>
      <c r="E47" s="10">
        <v>2.49</v>
      </c>
      <c r="F47" s="11">
        <f>2.49/200*300</f>
        <v>3.735</v>
      </c>
      <c r="G47" s="12">
        <f t="shared" si="0"/>
        <v>18.2958975</v>
      </c>
      <c r="H47" s="10" t="s">
        <v>99</v>
      </c>
      <c r="I47" s="10" t="s">
        <v>102</v>
      </c>
      <c r="J47" s="10" t="s">
        <v>21</v>
      </c>
    </row>
    <row r="48" spans="1:10">
      <c r="A48" s="13"/>
      <c r="B48" s="16" t="s">
        <v>103</v>
      </c>
      <c r="C48" s="15" t="s">
        <v>104</v>
      </c>
      <c r="D48" s="15" t="s">
        <v>105</v>
      </c>
      <c r="E48" s="10">
        <v>4.99</v>
      </c>
      <c r="F48" s="11">
        <f>4.99/380*300</f>
        <v>3.93947368421053</v>
      </c>
      <c r="G48" s="12">
        <f t="shared" si="0"/>
        <v>19.2975118421053</v>
      </c>
      <c r="H48" s="10" t="s">
        <v>99</v>
      </c>
      <c r="I48" s="10" t="s">
        <v>20</v>
      </c>
      <c r="J48" s="10" t="s">
        <v>21</v>
      </c>
    </row>
    <row r="49" spans="1:10">
      <c r="A49" s="13"/>
      <c r="B49" s="10" t="s">
        <v>106</v>
      </c>
      <c r="C49" s="15" t="s">
        <v>107</v>
      </c>
      <c r="D49" s="15" t="s">
        <v>108</v>
      </c>
      <c r="E49" s="10">
        <v>36.99</v>
      </c>
      <c r="F49" s="11">
        <f>36.99/350/24*300</f>
        <v>1.32107142857143</v>
      </c>
      <c r="G49" s="12">
        <f t="shared" si="0"/>
        <v>6.47126839285714</v>
      </c>
      <c r="H49" s="10" t="s">
        <v>109</v>
      </c>
      <c r="I49" s="10">
        <v>19</v>
      </c>
      <c r="J49" s="10" t="s">
        <v>16</v>
      </c>
    </row>
    <row r="50" spans="1:10">
      <c r="A50" s="13"/>
      <c r="B50" s="8" t="s">
        <v>110</v>
      </c>
      <c r="C50" s="15" t="s">
        <v>111</v>
      </c>
      <c r="D50" s="15" t="s">
        <v>112</v>
      </c>
      <c r="E50" s="10">
        <v>9</v>
      </c>
      <c r="F50" s="11">
        <f>9/2000*300</f>
        <v>1.35</v>
      </c>
      <c r="G50" s="12">
        <f t="shared" si="0"/>
        <v>6.612975</v>
      </c>
      <c r="H50" s="10" t="s">
        <v>113</v>
      </c>
      <c r="I50" s="10">
        <v>1055</v>
      </c>
      <c r="J50" s="10" t="s">
        <v>16</v>
      </c>
    </row>
    <row r="51" spans="1:10">
      <c r="A51" s="13"/>
      <c r="B51" s="16"/>
      <c r="C51" s="15" t="s">
        <v>114</v>
      </c>
      <c r="D51" s="15" t="s">
        <v>101</v>
      </c>
      <c r="E51" s="10">
        <v>2.19</v>
      </c>
      <c r="F51" s="11">
        <f>2.19/200*300</f>
        <v>3.285</v>
      </c>
      <c r="G51" s="12">
        <f t="shared" si="0"/>
        <v>16.0915725</v>
      </c>
      <c r="H51" s="10" t="s">
        <v>113</v>
      </c>
      <c r="I51" s="10">
        <v>40868</v>
      </c>
      <c r="J51" s="10" t="s">
        <v>17</v>
      </c>
    </row>
    <row r="52" spans="1:10">
      <c r="A52" s="13"/>
      <c r="B52" s="10" t="s">
        <v>115</v>
      </c>
      <c r="C52" s="15" t="s">
        <v>116</v>
      </c>
      <c r="D52" s="15" t="s">
        <v>117</v>
      </c>
      <c r="E52" s="10">
        <v>7.99</v>
      </c>
      <c r="F52" s="11">
        <f>7.99/3000*300</f>
        <v>0.799</v>
      </c>
      <c r="G52" s="12">
        <f t="shared" si="0"/>
        <v>3.9139015</v>
      </c>
      <c r="H52" s="10" t="s">
        <v>113</v>
      </c>
      <c r="I52" s="10">
        <v>300</v>
      </c>
      <c r="J52" s="10" t="s">
        <v>16</v>
      </c>
    </row>
    <row r="53" spans="1:10">
      <c r="A53" s="13"/>
      <c r="B53" s="10" t="s">
        <v>118</v>
      </c>
      <c r="C53" s="15" t="s">
        <v>119</v>
      </c>
      <c r="D53" s="15" t="s">
        <v>112</v>
      </c>
      <c r="E53" s="10">
        <v>7.39</v>
      </c>
      <c r="F53" s="11">
        <f>7.39/2000*300</f>
        <v>1.1085</v>
      </c>
      <c r="G53" s="12">
        <f t="shared" si="0"/>
        <v>5.42998725</v>
      </c>
      <c r="H53" s="10" t="s">
        <v>113</v>
      </c>
      <c r="I53" s="10">
        <v>285</v>
      </c>
      <c r="J53" s="10" t="s">
        <v>16</v>
      </c>
    </row>
    <row r="54" spans="1:10">
      <c r="A54" s="13"/>
      <c r="B54" s="10" t="s">
        <v>120</v>
      </c>
      <c r="C54" s="15" t="s">
        <v>121</v>
      </c>
      <c r="D54" s="15" t="s">
        <v>112</v>
      </c>
      <c r="E54" s="10">
        <v>7.1</v>
      </c>
      <c r="F54" s="11">
        <f>7.1/2000*300</f>
        <v>1.065</v>
      </c>
      <c r="G54" s="12">
        <f t="shared" si="0"/>
        <v>5.2169025</v>
      </c>
      <c r="H54" s="10" t="s">
        <v>113</v>
      </c>
      <c r="I54" s="10">
        <v>180</v>
      </c>
      <c r="J54" s="10" t="s">
        <v>16</v>
      </c>
    </row>
    <row r="55" ht="45" spans="1:10">
      <c r="A55" s="5" t="s">
        <v>1</v>
      </c>
      <c r="B55" s="5" t="s">
        <v>2</v>
      </c>
      <c r="C55" s="5" t="s">
        <v>3</v>
      </c>
      <c r="D55" s="5" t="s">
        <v>4</v>
      </c>
      <c r="E55" s="5" t="s">
        <v>5</v>
      </c>
      <c r="F55" s="5" t="s">
        <v>122</v>
      </c>
      <c r="G55" s="6" t="s">
        <v>7</v>
      </c>
      <c r="H55" s="5" t="s">
        <v>8</v>
      </c>
      <c r="I55" s="5" t="s">
        <v>123</v>
      </c>
      <c r="J55" s="5" t="s">
        <v>10</v>
      </c>
    </row>
    <row r="56" spans="1:10">
      <c r="A56" s="7" t="s">
        <v>124</v>
      </c>
      <c r="B56" s="7" t="s">
        <v>125</v>
      </c>
      <c r="C56" s="19" t="s">
        <v>126</v>
      </c>
      <c r="D56" s="19" t="s">
        <v>127</v>
      </c>
      <c r="E56" s="18">
        <v>3.39</v>
      </c>
      <c r="F56" s="20">
        <f>3.39/520/2*330</f>
        <v>1.07567307692308</v>
      </c>
      <c r="G56" s="21">
        <f t="shared" ref="G56:G76" si="1">F56*4.8985</f>
        <v>5.26918456730769</v>
      </c>
      <c r="H56" s="18" t="s">
        <v>15</v>
      </c>
      <c r="I56" s="18">
        <v>138</v>
      </c>
      <c r="J56" s="10" t="s">
        <v>16</v>
      </c>
    </row>
    <row r="57" spans="1:10">
      <c r="A57" s="13"/>
      <c r="B57" s="13"/>
      <c r="C57" s="19" t="s">
        <v>128</v>
      </c>
      <c r="D57" s="19" t="s">
        <v>112</v>
      </c>
      <c r="E57" s="18">
        <v>1.99</v>
      </c>
      <c r="F57" s="20">
        <f>1.99/2000*330</f>
        <v>0.32835</v>
      </c>
      <c r="G57" s="21">
        <f t="shared" si="1"/>
        <v>1.608422475</v>
      </c>
      <c r="H57" s="18" t="s">
        <v>15</v>
      </c>
      <c r="I57" s="18">
        <v>1040</v>
      </c>
      <c r="J57" s="10" t="s">
        <v>17</v>
      </c>
    </row>
    <row r="58" spans="1:10">
      <c r="A58" s="13"/>
      <c r="B58" s="13"/>
      <c r="C58" s="19" t="s">
        <v>129</v>
      </c>
      <c r="D58" s="19" t="s">
        <v>130</v>
      </c>
      <c r="E58" s="18">
        <v>1.65</v>
      </c>
      <c r="F58" s="20">
        <f>1.65/520*330</f>
        <v>1.04711538461538</v>
      </c>
      <c r="G58" s="21">
        <f t="shared" si="1"/>
        <v>5.12929471153846</v>
      </c>
      <c r="H58" s="18" t="s">
        <v>15</v>
      </c>
      <c r="I58" s="18">
        <v>2493</v>
      </c>
      <c r="J58" s="10" t="s">
        <v>17</v>
      </c>
    </row>
    <row r="59" spans="1:10">
      <c r="A59" s="13"/>
      <c r="B59" s="13"/>
      <c r="C59" s="19" t="s">
        <v>129</v>
      </c>
      <c r="D59" s="19" t="s">
        <v>130</v>
      </c>
      <c r="E59" s="18">
        <v>1.79</v>
      </c>
      <c r="F59" s="20">
        <f>1.79/520*330</f>
        <v>1.13596153846154</v>
      </c>
      <c r="G59" s="21">
        <f t="shared" si="1"/>
        <v>5.56450759615385</v>
      </c>
      <c r="H59" s="18" t="s">
        <v>15</v>
      </c>
      <c r="I59" s="18" t="s">
        <v>39</v>
      </c>
      <c r="J59" s="10" t="s">
        <v>21</v>
      </c>
    </row>
    <row r="60" spans="1:10">
      <c r="A60" s="13"/>
      <c r="B60" s="7" t="s">
        <v>22</v>
      </c>
      <c r="C60" s="19" t="s">
        <v>131</v>
      </c>
      <c r="D60" s="19" t="s">
        <v>132</v>
      </c>
      <c r="E60" s="18">
        <v>21.99</v>
      </c>
      <c r="F60" s="20">
        <f>21.99/480/15*330</f>
        <v>1.007875</v>
      </c>
      <c r="G60" s="21">
        <f t="shared" si="1"/>
        <v>4.9370756875</v>
      </c>
      <c r="H60" s="18" t="s">
        <v>15</v>
      </c>
      <c r="I60" s="18">
        <v>1666</v>
      </c>
      <c r="J60" s="10" t="s">
        <v>16</v>
      </c>
    </row>
    <row r="61" spans="1:10">
      <c r="A61" s="13"/>
      <c r="B61" s="13"/>
      <c r="C61" s="19" t="s">
        <v>133</v>
      </c>
      <c r="D61" s="19" t="s">
        <v>132</v>
      </c>
      <c r="E61" s="18">
        <v>21.89</v>
      </c>
      <c r="F61" s="20">
        <f>21.89/480/15*330</f>
        <v>1.00329166666667</v>
      </c>
      <c r="G61" s="21">
        <f t="shared" si="1"/>
        <v>4.91462422916667</v>
      </c>
      <c r="H61" s="18" t="s">
        <v>15</v>
      </c>
      <c r="I61" s="18">
        <v>12792</v>
      </c>
      <c r="J61" s="10" t="s">
        <v>17</v>
      </c>
    </row>
    <row r="62" spans="1:10">
      <c r="A62" s="13"/>
      <c r="B62" s="13"/>
      <c r="C62" s="19" t="s">
        <v>134</v>
      </c>
      <c r="D62" s="19" t="s">
        <v>132</v>
      </c>
      <c r="E62" s="18">
        <v>26.99</v>
      </c>
      <c r="F62" s="20">
        <f>26.99/480/15*330</f>
        <v>1.23704166666667</v>
      </c>
      <c r="G62" s="21">
        <f t="shared" si="1"/>
        <v>6.05964860416667</v>
      </c>
      <c r="H62" s="18" t="s">
        <v>15</v>
      </c>
      <c r="I62" s="18" t="s">
        <v>39</v>
      </c>
      <c r="J62" s="10" t="s">
        <v>21</v>
      </c>
    </row>
    <row r="63" spans="1:10">
      <c r="A63" s="13"/>
      <c r="B63" s="7" t="s">
        <v>135</v>
      </c>
      <c r="C63" s="19" t="s">
        <v>136</v>
      </c>
      <c r="D63" s="19" t="s">
        <v>137</v>
      </c>
      <c r="E63" s="18">
        <v>17.99</v>
      </c>
      <c r="F63" s="20">
        <f>17.99/200/24*330</f>
        <v>1.2368125</v>
      </c>
      <c r="G63" s="21">
        <f t="shared" si="1"/>
        <v>6.05852603125</v>
      </c>
      <c r="H63" s="18" t="s">
        <v>15</v>
      </c>
      <c r="I63" s="18">
        <v>185</v>
      </c>
      <c r="J63" s="10" t="s">
        <v>16</v>
      </c>
    </row>
    <row r="64" spans="1:10">
      <c r="A64" s="13"/>
      <c r="B64" s="13"/>
      <c r="C64" s="19" t="s">
        <v>138</v>
      </c>
      <c r="D64" s="19" t="s">
        <v>27</v>
      </c>
      <c r="E64" s="18">
        <v>3.49</v>
      </c>
      <c r="F64" s="20">
        <f>3.49/500*330</f>
        <v>2.3034</v>
      </c>
      <c r="G64" s="21">
        <f t="shared" si="1"/>
        <v>11.2832049</v>
      </c>
      <c r="H64" s="18" t="s">
        <v>99</v>
      </c>
      <c r="I64" s="18">
        <v>111</v>
      </c>
      <c r="J64" s="10" t="s">
        <v>16</v>
      </c>
    </row>
    <row r="65" spans="1:10">
      <c r="A65" s="13"/>
      <c r="B65" s="13"/>
      <c r="C65" s="19" t="s">
        <v>139</v>
      </c>
      <c r="D65" s="19" t="s">
        <v>140</v>
      </c>
      <c r="E65" s="18">
        <v>35.99</v>
      </c>
      <c r="F65" s="20">
        <f>35.99/375/24*330</f>
        <v>1.31963333333333</v>
      </c>
      <c r="G65" s="21">
        <f t="shared" si="1"/>
        <v>6.46422388333333</v>
      </c>
      <c r="H65" s="18" t="s">
        <v>72</v>
      </c>
      <c r="I65" s="18" t="s">
        <v>39</v>
      </c>
      <c r="J65" s="10" t="s">
        <v>21</v>
      </c>
    </row>
    <row r="66" spans="1:10">
      <c r="A66" s="13"/>
      <c r="B66" s="7" t="s">
        <v>141</v>
      </c>
      <c r="C66" s="19" t="s">
        <v>142</v>
      </c>
      <c r="D66" s="19" t="s">
        <v>143</v>
      </c>
      <c r="E66" s="18">
        <v>1.79</v>
      </c>
      <c r="F66" s="20">
        <f>1.79/480*330</f>
        <v>1.230625</v>
      </c>
      <c r="G66" s="21">
        <f t="shared" si="1"/>
        <v>6.0282165625</v>
      </c>
      <c r="H66" s="18" t="s">
        <v>15</v>
      </c>
      <c r="I66" s="18">
        <v>65</v>
      </c>
      <c r="J66" s="10" t="s">
        <v>16</v>
      </c>
    </row>
    <row r="67" spans="1:10">
      <c r="A67" s="13"/>
      <c r="B67" s="13"/>
      <c r="C67" s="19" t="s">
        <v>144</v>
      </c>
      <c r="D67" s="19" t="s">
        <v>143</v>
      </c>
      <c r="E67" s="18">
        <v>2.29</v>
      </c>
      <c r="F67" s="20">
        <f>2.29/480*330</f>
        <v>1.574375</v>
      </c>
      <c r="G67" s="21">
        <f t="shared" si="1"/>
        <v>7.7120759375</v>
      </c>
      <c r="H67" s="18" t="s">
        <v>15</v>
      </c>
      <c r="I67" s="18">
        <v>580</v>
      </c>
      <c r="J67" s="10" t="s">
        <v>17</v>
      </c>
    </row>
    <row r="68" spans="1:10">
      <c r="A68" s="13"/>
      <c r="B68" s="22"/>
      <c r="C68" s="19" t="s">
        <v>144</v>
      </c>
      <c r="D68" s="19" t="s">
        <v>143</v>
      </c>
      <c r="E68" s="18">
        <v>1.79</v>
      </c>
      <c r="F68" s="20">
        <f>1.79/480*330</f>
        <v>1.230625</v>
      </c>
      <c r="G68" s="21">
        <f t="shared" si="1"/>
        <v>6.0282165625</v>
      </c>
      <c r="H68" s="18" t="s">
        <v>15</v>
      </c>
      <c r="I68" s="18" t="s">
        <v>28</v>
      </c>
      <c r="J68" s="10" t="s">
        <v>21</v>
      </c>
    </row>
    <row r="69" spans="1:10">
      <c r="A69" s="13"/>
      <c r="B69" s="18" t="s">
        <v>145</v>
      </c>
      <c r="C69" s="19" t="s">
        <v>146</v>
      </c>
      <c r="D69" s="19" t="s">
        <v>33</v>
      </c>
      <c r="E69" s="18">
        <v>1.89</v>
      </c>
      <c r="F69" s="20">
        <f>1.89/400*330</f>
        <v>1.55925</v>
      </c>
      <c r="G69" s="21">
        <f t="shared" si="1"/>
        <v>7.637986125</v>
      </c>
      <c r="H69" s="18" t="s">
        <v>15</v>
      </c>
      <c r="I69" s="18">
        <v>21</v>
      </c>
      <c r="J69" s="10" t="s">
        <v>16</v>
      </c>
    </row>
    <row r="70" spans="1:10">
      <c r="A70" s="13"/>
      <c r="B70" s="18"/>
      <c r="C70" s="19" t="s">
        <v>147</v>
      </c>
      <c r="D70" s="19" t="s">
        <v>27</v>
      </c>
      <c r="E70" s="18">
        <v>2.49</v>
      </c>
      <c r="F70" s="20">
        <f>2.49/500*330</f>
        <v>1.6434</v>
      </c>
      <c r="G70" s="21">
        <f t="shared" si="1"/>
        <v>8.0501949</v>
      </c>
      <c r="H70" s="18" t="s">
        <v>15</v>
      </c>
      <c r="I70" s="18" t="s">
        <v>39</v>
      </c>
      <c r="J70" s="10" t="s">
        <v>21</v>
      </c>
    </row>
    <row r="71" spans="1:10">
      <c r="A71" s="13"/>
      <c r="B71" s="10" t="s">
        <v>148</v>
      </c>
      <c r="C71" s="15" t="s">
        <v>149</v>
      </c>
      <c r="D71" s="15" t="s">
        <v>150</v>
      </c>
      <c r="E71" s="10">
        <v>2.79</v>
      </c>
      <c r="F71" s="11">
        <v>2.79</v>
      </c>
      <c r="G71" s="12">
        <f t="shared" si="1"/>
        <v>13.666815</v>
      </c>
      <c r="H71" s="10" t="s">
        <v>15</v>
      </c>
      <c r="I71" s="10">
        <v>204</v>
      </c>
      <c r="J71" s="10" t="s">
        <v>16</v>
      </c>
    </row>
    <row r="72" spans="1:10">
      <c r="A72" s="13"/>
      <c r="B72" s="10"/>
      <c r="C72" s="15" t="s">
        <v>151</v>
      </c>
      <c r="D72" s="15" t="s">
        <v>150</v>
      </c>
      <c r="E72" s="10">
        <v>2.59</v>
      </c>
      <c r="F72" s="11">
        <v>2.59</v>
      </c>
      <c r="G72" s="12">
        <f t="shared" si="1"/>
        <v>12.687115</v>
      </c>
      <c r="H72" s="10" t="s">
        <v>15</v>
      </c>
      <c r="I72" s="10">
        <v>47319</v>
      </c>
      <c r="J72" s="10" t="s">
        <v>17</v>
      </c>
    </row>
    <row r="73" spans="1:10">
      <c r="A73" s="13"/>
      <c r="B73" s="8"/>
      <c r="C73" s="15" t="s">
        <v>151</v>
      </c>
      <c r="D73" s="15" t="s">
        <v>152</v>
      </c>
      <c r="E73" s="10">
        <v>64.99</v>
      </c>
      <c r="F73" s="11">
        <f>64.99/300/24*300</f>
        <v>2.70791666666667</v>
      </c>
      <c r="G73" s="12">
        <f t="shared" si="1"/>
        <v>13.2647297916667</v>
      </c>
      <c r="H73" s="10" t="s">
        <v>15</v>
      </c>
      <c r="I73" s="10" t="s">
        <v>39</v>
      </c>
      <c r="J73" s="10" t="s">
        <v>21</v>
      </c>
    </row>
    <row r="74" spans="1:10">
      <c r="A74" s="13"/>
      <c r="B74" s="7" t="s">
        <v>153</v>
      </c>
      <c r="C74" s="19" t="s">
        <v>154</v>
      </c>
      <c r="D74" s="19" t="s">
        <v>155</v>
      </c>
      <c r="E74" s="18">
        <v>5.99</v>
      </c>
      <c r="F74" s="20">
        <f>5.99/200/2*330</f>
        <v>4.94175</v>
      </c>
      <c r="G74" s="21">
        <f t="shared" si="1"/>
        <v>24.207162375</v>
      </c>
      <c r="H74" s="18" t="s">
        <v>99</v>
      </c>
      <c r="I74" s="18">
        <v>37</v>
      </c>
      <c r="J74" s="10" t="s">
        <v>16</v>
      </c>
    </row>
    <row r="75" spans="1:10">
      <c r="A75" s="13"/>
      <c r="B75" s="22"/>
      <c r="C75" s="19" t="s">
        <v>156</v>
      </c>
      <c r="D75" s="19" t="s">
        <v>101</v>
      </c>
      <c r="E75" s="18">
        <v>2.59</v>
      </c>
      <c r="F75" s="20">
        <f>2.59/200*330</f>
        <v>4.2735</v>
      </c>
      <c r="G75" s="21">
        <f t="shared" si="1"/>
        <v>20.93373975</v>
      </c>
      <c r="H75" s="18" t="s">
        <v>99</v>
      </c>
      <c r="I75" s="18">
        <v>2726</v>
      </c>
      <c r="J75" s="10" t="s">
        <v>17</v>
      </c>
    </row>
    <row r="76" spans="1:10">
      <c r="A76" s="23"/>
      <c r="B76" s="18" t="s">
        <v>12</v>
      </c>
      <c r="C76" s="19" t="s">
        <v>157</v>
      </c>
      <c r="D76" s="19" t="s">
        <v>158</v>
      </c>
      <c r="E76" s="18">
        <v>26.99</v>
      </c>
      <c r="F76" s="20">
        <f>26.99/330/16*330</f>
        <v>1.686875</v>
      </c>
      <c r="G76" s="21">
        <f t="shared" si="1"/>
        <v>8.2631571875</v>
      </c>
      <c r="H76" s="18" t="s">
        <v>72</v>
      </c>
      <c r="I76" s="18">
        <v>238</v>
      </c>
      <c r="J76" s="10" t="s">
        <v>16</v>
      </c>
    </row>
  </sheetData>
  <mergeCells count="22">
    <mergeCell ref="A3:A54"/>
    <mergeCell ref="A56:A76"/>
    <mergeCell ref="B3:B5"/>
    <mergeCell ref="B6:B11"/>
    <mergeCell ref="B12:B16"/>
    <mergeCell ref="B17:B21"/>
    <mergeCell ref="B23:B25"/>
    <mergeCell ref="B26:B28"/>
    <mergeCell ref="B31:B32"/>
    <mergeCell ref="B33:B34"/>
    <mergeCell ref="B36:B37"/>
    <mergeCell ref="B39:B40"/>
    <mergeCell ref="B41:B43"/>
    <mergeCell ref="B46:B47"/>
    <mergeCell ref="B50:B51"/>
    <mergeCell ref="B56:B59"/>
    <mergeCell ref="B60:B62"/>
    <mergeCell ref="B63:B65"/>
    <mergeCell ref="B66:B68"/>
    <mergeCell ref="B69:B70"/>
    <mergeCell ref="B71:B73"/>
    <mergeCell ref="B74:B7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WWO_wpscloud_20250910221902-5b67da89ae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20260210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傲娇喵星人</cp:lastModifiedBy>
  <dcterms:created xsi:type="dcterms:W3CDTF">2025-09-17T14:12:00Z</dcterms:created>
  <dcterms:modified xsi:type="dcterms:W3CDTF">2026-02-26T08:59:56Z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FBE51283D05E3FA73B51CA68CB3438FF_41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