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<sst xmlns="http://schemas.openxmlformats.org/spreadsheetml/2006/main" count="145" uniqueCount="105">
  <si>
    <t>澳洲果味饮料价格调研</t>
  </si>
  <si>
    <t>品类</t>
  </si>
  <si>
    <t>品牌</t>
  </si>
  <si>
    <t>品名</t>
  </si>
  <si>
    <t>规格</t>
  </si>
  <si>
    <t>促销价（＄）</t>
  </si>
  <si>
    <t>换算300ml价格（＄）</t>
  </si>
  <si>
    <t>300ml价格（￥）
1：4.7461</t>
  </si>
  <si>
    <t>产地</t>
  </si>
  <si>
    <t>销量（按评价数）</t>
  </si>
  <si>
    <t>果汁</t>
  </si>
  <si>
    <t>山姆馆</t>
  </si>
  <si>
    <t>金晔山满满山楂汁</t>
  </si>
  <si>
    <t>310ml*24</t>
  </si>
  <si>
    <t>中国</t>
  </si>
  <si>
    <t>忆巫山</t>
  </si>
  <si>
    <t>冻梨果汁饮料</t>
  </si>
  <si>
    <t>320ml</t>
  </si>
  <si>
    <t>酷儿Qoo</t>
  </si>
  <si>
    <t>橙汁饮料富含维生素C</t>
  </si>
  <si>
    <t>450ml*2</t>
  </si>
  <si>
    <t>轻上</t>
  </si>
  <si>
    <t>枇杷小吊梨</t>
  </si>
  <si>
    <t>1L</t>
  </si>
  <si>
    <t>有得解</t>
  </si>
  <si>
    <t>荔枝汁</t>
  </si>
  <si>
    <t>300ml*24</t>
  </si>
  <si>
    <t>元气森林</t>
  </si>
  <si>
    <t>维C新疆玉葡萄</t>
  </si>
  <si>
    <t>400ml*15</t>
  </si>
  <si>
    <t>杨协成</t>
  </si>
  <si>
    <t>甘蔗水</t>
  </si>
  <si>
    <t>250ml*6pk</t>
  </si>
  <si>
    <t>农夫山泉</t>
  </si>
  <si>
    <t>农夫果园30%混合果蔬汁葡萄味</t>
  </si>
  <si>
    <t>450ml*15</t>
  </si>
  <si>
    <t>胜基</t>
  </si>
  <si>
    <t>开卫黄桃果汁饮料</t>
  </si>
  <si>
    <t>280ml*15</t>
  </si>
  <si>
    <t>康师傅</t>
  </si>
  <si>
    <t>鲜果橙</t>
  </si>
  <si>
    <t>2L</t>
  </si>
  <si>
    <t>胖东来澳洲代购</t>
  </si>
  <si>
    <t>100%橙子复合果汁（临保）</t>
  </si>
  <si>
    <t>维他</t>
  </si>
  <si>
    <t>芒果汁（临保）</t>
  </si>
  <si>
    <t>其他</t>
  </si>
  <si>
    <t>海太</t>
  </si>
  <si>
    <t>梨味果汁含果肉</t>
  </si>
  <si>
    <t>238ml*12</t>
  </si>
  <si>
    <t>韩国</t>
  </si>
  <si>
    <t>LOTTE乐天</t>
  </si>
  <si>
    <t>Sac Sac粒粒椰果饮料 水蜜桃味</t>
  </si>
  <si>
    <t>280ml</t>
  </si>
  <si>
    <t>Woongin</t>
  </si>
  <si>
    <t>青梅汁</t>
  </si>
  <si>
    <t>1.5L</t>
  </si>
  <si>
    <t>KAGOME</t>
  </si>
  <si>
    <t>7种混合果汁</t>
  </si>
  <si>
    <t>330ml</t>
  </si>
  <si>
    <t>日本</t>
  </si>
  <si>
    <t>If</t>
  </si>
  <si>
    <t>水蜜桃维C果汁</t>
  </si>
  <si>
    <t>350ml*2</t>
  </si>
  <si>
    <t>澳大利亚</t>
  </si>
  <si>
    <t>Nudie</t>
  </si>
  <si>
    <t>纯果汁橙汁</t>
  </si>
  <si>
    <t>Mildura</t>
  </si>
  <si>
    <t>新鲜果汁家庭装橙子&amp;芒果味</t>
  </si>
  <si>
    <t>3L</t>
  </si>
  <si>
    <t>Daily Juice</t>
  </si>
  <si>
    <t>家庭共享装混合早餐果汁不添加糖</t>
  </si>
  <si>
    <t>East Coast</t>
  </si>
  <si>
    <t>早餐果汁</t>
  </si>
  <si>
    <t>换算330ml价格</t>
  </si>
  <si>
    <t>汽水</t>
  </si>
  <si>
    <t>珍珍</t>
  </si>
  <si>
    <t>荔枝杨梅味汽水饮料</t>
  </si>
  <si>
    <t>520ml*2</t>
  </si>
  <si>
    <t>冰峰</t>
  </si>
  <si>
    <t>白桃味汽水</t>
  </si>
  <si>
    <t>奥乐齐（中国）</t>
  </si>
  <si>
    <t>寻露劲爽橙汁汽水</t>
  </si>
  <si>
    <t>330ml*6</t>
  </si>
  <si>
    <t>可口可乐</t>
  </si>
  <si>
    <t>芬达水蜜桃味</t>
  </si>
  <si>
    <t>500ml*2</t>
  </si>
  <si>
    <t>大窑</t>
  </si>
  <si>
    <t>冰畅凤梨味汽水</t>
  </si>
  <si>
    <t>480ml</t>
  </si>
  <si>
    <t>北冰洋</t>
  </si>
  <si>
    <t>桔汁汽水（临保）</t>
  </si>
  <si>
    <t>330ml*6pk</t>
  </si>
  <si>
    <t>Topsi</t>
  </si>
  <si>
    <t>菠萝碳酸饮料</t>
  </si>
  <si>
    <t>190ml*2</t>
  </si>
  <si>
    <t>奈良店</t>
  </si>
  <si>
    <t>炭酸饮料古都华草莓味</t>
  </si>
  <si>
    <t>200ml</t>
  </si>
  <si>
    <t>HATA</t>
  </si>
  <si>
    <t>弹珠汽水柚子味</t>
  </si>
  <si>
    <t>200ml*2</t>
  </si>
  <si>
    <t>三得利</t>
  </si>
  <si>
    <t>葡萄乳酸碳酸饮料</t>
  </si>
  <si>
    <t>350ml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</si>
</sst>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8"/>
      <color rgb="FF000000"/>
      <name val="等线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J31" sqref="J31"/>
    </sheetView>
  </sheetViews>
  <sheetFormatPr defaultColWidth="11.3359375" defaultRowHeight="13.85"/>
  <cols>
    <col min="1" max="1" width="11.3359375" style="1"/>
    <col min="2" max="2" width="14" style="1" customWidth="1"/>
    <col min="3" max="3" width="25.4453125" style="1" customWidth="1"/>
    <col min="4" max="4" width="11.3359375" style="1"/>
    <col min="5" max="5" width="12.109375" style="1" customWidth="1"/>
    <col min="6" max="6" width="20.65625" style="1" customWidth="1"/>
    <col min="7" max="7" width="16.4921875" style="1" customWidth="1"/>
    <col min="8" max="8" width="11.3359375" style="1"/>
    <col min="9" max="9" width="16" style="1" customWidth="1"/>
    <col min="10" max="10" width="11.3359375" style="1"/>
    <col min="11" max="11" width="18.78125" style="1"/>
    <col min="12" max="16384" width="11.3359375" style="1"/>
  </cols>
  <sheetData>
    <row r="1" ht="22.5" spans="1:1">
      <c r="A1" s="2" t="s">
        <v>0</v>
      </c>
    </row>
    <row r="2" ht="30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3" t="s">
        <v>9</v>
      </c>
      <c r="K2" s="13"/>
    </row>
    <row r="3" ht="15" spans="1:11">
      <c r="A3" s="5" t="s">
        <v>10</v>
      </c>
      <c r="B3" s="6" t="s">
        <v>11</v>
      </c>
      <c r="C3" s="6" t="s">
        <v>12</v>
      </c>
      <c r="D3" s="6" t="s">
        <v>13</v>
      </c>
      <c r="E3" s="7">
        <v>36.99</v>
      </c>
      <c r="F3" s="8">
        <f>36.99/310/24*300</f>
        <v>1.49153225806452</v>
      </c>
      <c r="G3" s="9">
        <f>F3*4.7461</f>
        <v>7.07896125000002</v>
      </c>
      <c r="H3" s="7" t="s">
        <v>14</v>
      </c>
      <c r="I3" s="7">
        <v>151</v>
      </c>
      <c r="K3" s="14"/>
    </row>
    <row r="4" ht="15" spans="1:11">
      <c r="A4" s="10"/>
      <c r="B4" s="6" t="s">
        <v>15</v>
      </c>
      <c r="C4" s="6" t="s">
        <v>16</v>
      </c>
      <c r="D4" s="6" t="s">
        <v>17</v>
      </c>
      <c r="E4" s="7">
        <v>2.79</v>
      </c>
      <c r="F4" s="8">
        <f>2.79/320*300</f>
        <v>2.615625</v>
      </c>
      <c r="G4" s="9">
        <f>F4*4.7461</f>
        <v>12.4140178125</v>
      </c>
      <c r="H4" s="7" t="s">
        <v>14</v>
      </c>
      <c r="I4" s="7">
        <v>18</v>
      </c>
      <c r="K4" s="14"/>
    </row>
    <row r="5" ht="15" spans="1:9">
      <c r="A5" s="10"/>
      <c r="B5" s="6" t="s">
        <v>18</v>
      </c>
      <c r="C5" s="6" t="s">
        <v>19</v>
      </c>
      <c r="D5" s="6" t="s">
        <v>20</v>
      </c>
      <c r="E5" s="7">
        <v>4.99</v>
      </c>
      <c r="F5" s="8">
        <f>4.99/450/2*300</f>
        <v>1.66333333333333</v>
      </c>
      <c r="G5" s="9">
        <f t="shared" ref="G5:G23" si="0">F5*4.7461</f>
        <v>7.89434633333332</v>
      </c>
      <c r="H5" s="7" t="s">
        <v>14</v>
      </c>
      <c r="I5" s="7">
        <v>11</v>
      </c>
    </row>
    <row r="6" ht="15" spans="1:9">
      <c r="A6" s="10"/>
      <c r="B6" s="6" t="s">
        <v>21</v>
      </c>
      <c r="C6" s="6" t="s">
        <v>22</v>
      </c>
      <c r="D6" s="6" t="s">
        <v>23</v>
      </c>
      <c r="E6" s="7">
        <v>3.59</v>
      </c>
      <c r="F6" s="8">
        <f>3.59/1000*300</f>
        <v>1.077</v>
      </c>
      <c r="G6" s="9">
        <f t="shared" si="0"/>
        <v>5.1115497</v>
      </c>
      <c r="H6" s="7" t="s">
        <v>14</v>
      </c>
      <c r="I6" s="7">
        <v>107</v>
      </c>
    </row>
    <row r="7" ht="15" spans="1:9">
      <c r="A7" s="10"/>
      <c r="B7" s="6" t="s">
        <v>24</v>
      </c>
      <c r="C7" s="6" t="s">
        <v>25</v>
      </c>
      <c r="D7" s="6" t="s">
        <v>26</v>
      </c>
      <c r="E7" s="7">
        <v>14.99</v>
      </c>
      <c r="F7" s="8">
        <f>14.99/300/24*300</f>
        <v>0.624583333333333</v>
      </c>
      <c r="G7" s="9">
        <f t="shared" si="0"/>
        <v>2.96433495833333</v>
      </c>
      <c r="H7" s="7" t="s">
        <v>14</v>
      </c>
      <c r="I7" s="7">
        <v>58</v>
      </c>
    </row>
    <row r="8" ht="15" spans="1:9">
      <c r="A8" s="10"/>
      <c r="B8" s="6" t="s">
        <v>27</v>
      </c>
      <c r="C8" s="6" t="s">
        <v>28</v>
      </c>
      <c r="D8" s="6" t="s">
        <v>29</v>
      </c>
      <c r="E8" s="7">
        <v>32.99</v>
      </c>
      <c r="F8" s="8">
        <f>32.99/400/15*300</f>
        <v>1.6495</v>
      </c>
      <c r="G8" s="9">
        <f t="shared" si="0"/>
        <v>7.82869195</v>
      </c>
      <c r="H8" s="7" t="s">
        <v>14</v>
      </c>
      <c r="I8" s="7">
        <v>20</v>
      </c>
    </row>
    <row r="9" ht="15" spans="1:9">
      <c r="A9" s="10"/>
      <c r="B9" s="6" t="s">
        <v>30</v>
      </c>
      <c r="C9" s="6" t="s">
        <v>31</v>
      </c>
      <c r="D9" s="6" t="s">
        <v>32</v>
      </c>
      <c r="E9" s="7">
        <v>6.99</v>
      </c>
      <c r="F9" s="8">
        <f>6.99/250/6*300</f>
        <v>1.398</v>
      </c>
      <c r="G9" s="9">
        <f t="shared" si="0"/>
        <v>6.6350478</v>
      </c>
      <c r="H9" s="7" t="s">
        <v>14</v>
      </c>
      <c r="I9" s="7">
        <v>244</v>
      </c>
    </row>
    <row r="10" ht="15" spans="1:9">
      <c r="A10" s="10"/>
      <c r="B10" s="6" t="s">
        <v>33</v>
      </c>
      <c r="C10" s="6" t="s">
        <v>34</v>
      </c>
      <c r="D10" s="6" t="s">
        <v>35</v>
      </c>
      <c r="E10" s="7">
        <v>23.99</v>
      </c>
      <c r="F10" s="8">
        <f>23.99/450/15*300</f>
        <v>1.06622222222222</v>
      </c>
      <c r="G10" s="9">
        <f t="shared" si="0"/>
        <v>5.06039728888888</v>
      </c>
      <c r="H10" s="7" t="s">
        <v>14</v>
      </c>
      <c r="I10" s="7">
        <v>4</v>
      </c>
    </row>
    <row r="11" ht="15" spans="1:9">
      <c r="A11" s="10"/>
      <c r="B11" s="6" t="s">
        <v>36</v>
      </c>
      <c r="C11" s="6" t="s">
        <v>37</v>
      </c>
      <c r="D11" s="6" t="s">
        <v>38</v>
      </c>
      <c r="E11" s="7">
        <v>21.99</v>
      </c>
      <c r="F11" s="8">
        <f>21.99/280/15*300</f>
        <v>1.57071428571429</v>
      </c>
      <c r="G11" s="9">
        <f t="shared" si="0"/>
        <v>7.45476707142859</v>
      </c>
      <c r="H11" s="7" t="s">
        <v>14</v>
      </c>
      <c r="I11" s="7">
        <v>16</v>
      </c>
    </row>
    <row r="12" ht="15" spans="1:9">
      <c r="A12" s="10"/>
      <c r="B12" s="6" t="s">
        <v>39</v>
      </c>
      <c r="C12" s="6" t="s">
        <v>40</v>
      </c>
      <c r="D12" s="6" t="s">
        <v>41</v>
      </c>
      <c r="E12" s="7">
        <v>2.99</v>
      </c>
      <c r="F12" s="8">
        <f>2.99/2000*300</f>
        <v>0.4485</v>
      </c>
      <c r="G12" s="9">
        <f t="shared" si="0"/>
        <v>2.12862585</v>
      </c>
      <c r="H12" s="7" t="s">
        <v>14</v>
      </c>
      <c r="I12" s="7">
        <v>194</v>
      </c>
    </row>
    <row r="13" ht="15" spans="1:9">
      <c r="A13" s="10"/>
      <c r="B13" s="6" t="s">
        <v>42</v>
      </c>
      <c r="C13" s="6" t="s">
        <v>43</v>
      </c>
      <c r="D13" s="6" t="s">
        <v>23</v>
      </c>
      <c r="E13" s="11">
        <v>6.64</v>
      </c>
      <c r="F13" s="8">
        <f>6.64/1000*300</f>
        <v>1.992</v>
      </c>
      <c r="G13" s="9">
        <f t="shared" si="0"/>
        <v>9.4542312</v>
      </c>
      <c r="H13" s="7" t="s">
        <v>14</v>
      </c>
      <c r="I13" s="7">
        <v>98</v>
      </c>
    </row>
    <row r="14" ht="15" spans="1:9">
      <c r="A14" s="10"/>
      <c r="B14" s="6" t="s">
        <v>44</v>
      </c>
      <c r="C14" s="6" t="s">
        <v>45</v>
      </c>
      <c r="D14" s="6" t="s">
        <v>32</v>
      </c>
      <c r="E14" s="7">
        <v>6.64</v>
      </c>
      <c r="F14" s="8">
        <f>6.64/250/6*300</f>
        <v>1.328</v>
      </c>
      <c r="G14" s="9">
        <f t="shared" si="0"/>
        <v>6.3028208</v>
      </c>
      <c r="H14" s="7" t="s">
        <v>46</v>
      </c>
      <c r="I14" s="7">
        <v>167</v>
      </c>
    </row>
    <row r="15" ht="15" spans="1:9">
      <c r="A15" s="10"/>
      <c r="B15" s="6" t="s">
        <v>47</v>
      </c>
      <c r="C15" s="6" t="s">
        <v>48</v>
      </c>
      <c r="D15" s="6" t="s">
        <v>49</v>
      </c>
      <c r="E15" s="7">
        <v>16.99</v>
      </c>
      <c r="F15" s="8">
        <f>16.99/238/12*300</f>
        <v>1.78466386554622</v>
      </c>
      <c r="G15" s="9">
        <f t="shared" si="0"/>
        <v>8.47019317226891</v>
      </c>
      <c r="H15" s="7" t="s">
        <v>50</v>
      </c>
      <c r="I15" s="7">
        <v>282</v>
      </c>
    </row>
    <row r="16" ht="15" spans="1:9">
      <c r="A16" s="10"/>
      <c r="B16" s="6" t="s">
        <v>51</v>
      </c>
      <c r="C16" s="6" t="s">
        <v>52</v>
      </c>
      <c r="D16" s="6" t="s">
        <v>53</v>
      </c>
      <c r="E16" s="7">
        <v>2.49</v>
      </c>
      <c r="F16" s="8">
        <f>2.49/280*300</f>
        <v>2.66785714285714</v>
      </c>
      <c r="G16" s="9">
        <f t="shared" si="0"/>
        <v>12.6619167857143</v>
      </c>
      <c r="H16" s="7" t="s">
        <v>50</v>
      </c>
      <c r="I16" s="7">
        <v>6</v>
      </c>
    </row>
    <row r="17" ht="15" spans="1:9">
      <c r="A17" s="10"/>
      <c r="B17" s="6" t="s">
        <v>54</v>
      </c>
      <c r="C17" s="6" t="s">
        <v>55</v>
      </c>
      <c r="D17" s="6" t="s">
        <v>56</v>
      </c>
      <c r="E17" s="7">
        <v>4.62</v>
      </c>
      <c r="F17" s="8">
        <f>4.62/1500*300</f>
        <v>0.924</v>
      </c>
      <c r="G17" s="9">
        <f t="shared" si="0"/>
        <v>4.3853964</v>
      </c>
      <c r="H17" s="7" t="s">
        <v>50</v>
      </c>
      <c r="I17" s="7">
        <v>44</v>
      </c>
    </row>
    <row r="18" ht="15" spans="1:9">
      <c r="A18" s="10"/>
      <c r="B18" s="6" t="s">
        <v>57</v>
      </c>
      <c r="C18" s="6" t="s">
        <v>58</v>
      </c>
      <c r="D18" s="6" t="s">
        <v>59</v>
      </c>
      <c r="E18" s="7">
        <v>4.39</v>
      </c>
      <c r="F18" s="8">
        <f>4.39/330*300</f>
        <v>3.99090909090909</v>
      </c>
      <c r="G18" s="9">
        <f t="shared" si="0"/>
        <v>18.9412536363636</v>
      </c>
      <c r="H18" s="7" t="s">
        <v>60</v>
      </c>
      <c r="I18" s="7">
        <v>48</v>
      </c>
    </row>
    <row r="19" ht="15" spans="1:9">
      <c r="A19" s="10"/>
      <c r="B19" s="6" t="s">
        <v>61</v>
      </c>
      <c r="C19" s="6" t="s">
        <v>62</v>
      </c>
      <c r="D19" s="6" t="s">
        <v>63</v>
      </c>
      <c r="E19" s="7">
        <v>3.99</v>
      </c>
      <c r="F19" s="8">
        <f>3.99/350/2*300</f>
        <v>1.71</v>
      </c>
      <c r="G19" s="9">
        <f t="shared" si="0"/>
        <v>8.115831</v>
      </c>
      <c r="H19" s="7" t="s">
        <v>64</v>
      </c>
      <c r="I19" s="7">
        <v>87</v>
      </c>
    </row>
    <row r="20" ht="15" spans="1:9">
      <c r="A20" s="10"/>
      <c r="B20" s="6" t="s">
        <v>65</v>
      </c>
      <c r="C20" s="6" t="s">
        <v>66</v>
      </c>
      <c r="D20" s="6" t="s">
        <v>41</v>
      </c>
      <c r="E20" s="7">
        <v>9</v>
      </c>
      <c r="F20" s="8">
        <f>9/2000*300</f>
        <v>1.35</v>
      </c>
      <c r="G20" s="9">
        <f t="shared" si="0"/>
        <v>6.407235</v>
      </c>
      <c r="H20" s="7" t="s">
        <v>64</v>
      </c>
      <c r="I20" s="7">
        <v>708</v>
      </c>
    </row>
    <row r="21" ht="15" spans="1:9">
      <c r="A21" s="10"/>
      <c r="B21" s="6" t="s">
        <v>67</v>
      </c>
      <c r="C21" s="6" t="s">
        <v>68</v>
      </c>
      <c r="D21" s="6" t="s">
        <v>69</v>
      </c>
      <c r="E21" s="7">
        <v>7.99</v>
      </c>
      <c r="F21" s="8">
        <f>7.99/3000*300</f>
        <v>0.799</v>
      </c>
      <c r="G21" s="9">
        <f t="shared" si="0"/>
        <v>3.7921339</v>
      </c>
      <c r="H21" s="7" t="s">
        <v>64</v>
      </c>
      <c r="I21" s="7">
        <v>204</v>
      </c>
    </row>
    <row r="22" ht="15" spans="1:9">
      <c r="A22" s="10"/>
      <c r="B22" s="6" t="s">
        <v>70</v>
      </c>
      <c r="C22" s="6" t="s">
        <v>71</v>
      </c>
      <c r="D22" s="6" t="s">
        <v>41</v>
      </c>
      <c r="E22" s="7">
        <v>7.39</v>
      </c>
      <c r="F22" s="8">
        <f>7.39/2000*300</f>
        <v>1.1085</v>
      </c>
      <c r="G22" s="9">
        <f t="shared" si="0"/>
        <v>5.26105185</v>
      </c>
      <c r="H22" s="7" t="s">
        <v>64</v>
      </c>
      <c r="I22" s="7">
        <v>181</v>
      </c>
    </row>
    <row r="23" ht="15" spans="1:9">
      <c r="A23" s="10"/>
      <c r="B23" s="6" t="s">
        <v>72</v>
      </c>
      <c r="C23" s="6" t="s">
        <v>73</v>
      </c>
      <c r="D23" s="6" t="s">
        <v>41</v>
      </c>
      <c r="E23" s="7">
        <v>7.1</v>
      </c>
      <c r="F23" s="8">
        <f>7.1/2000*300</f>
        <v>1.065</v>
      </c>
      <c r="G23" s="9">
        <f t="shared" si="0"/>
        <v>5.0545965</v>
      </c>
      <c r="H23" s="7" t="s">
        <v>64</v>
      </c>
      <c r="I23" s="7">
        <v>74</v>
      </c>
    </row>
    <row r="24" ht="30" spans="1:9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74</v>
      </c>
      <c r="G24" s="4" t="s">
        <v>7</v>
      </c>
      <c r="H24" s="3" t="s">
        <v>8</v>
      </c>
      <c r="I24" s="3" t="s">
        <v>9</v>
      </c>
    </row>
    <row r="25" ht="15" spans="1:9">
      <c r="A25" s="5" t="s">
        <v>75</v>
      </c>
      <c r="B25" s="6" t="s">
        <v>76</v>
      </c>
      <c r="C25" s="6" t="s">
        <v>77</v>
      </c>
      <c r="D25" s="6" t="s">
        <v>78</v>
      </c>
      <c r="E25" s="7">
        <v>3.39</v>
      </c>
      <c r="F25" s="8">
        <f>3.39/520/2*330</f>
        <v>1.07567307692308</v>
      </c>
      <c r="G25" s="9">
        <f>F25*4.7461</f>
        <v>5.10525199038463</v>
      </c>
      <c r="H25" s="7" t="s">
        <v>14</v>
      </c>
      <c r="I25" s="7">
        <v>36</v>
      </c>
    </row>
    <row r="26" ht="15" spans="1:9">
      <c r="A26" s="10"/>
      <c r="B26" s="6" t="s">
        <v>79</v>
      </c>
      <c r="C26" s="6" t="s">
        <v>80</v>
      </c>
      <c r="D26" s="6" t="s">
        <v>59</v>
      </c>
      <c r="E26" s="7">
        <v>1.49</v>
      </c>
      <c r="F26" s="8">
        <f>1.49/330*330</f>
        <v>1.49</v>
      </c>
      <c r="G26" s="9">
        <f t="shared" ref="G26:G34" si="1">F26*4.7461</f>
        <v>7.071689</v>
      </c>
      <c r="H26" s="7" t="s">
        <v>14</v>
      </c>
      <c r="I26" s="7">
        <v>68</v>
      </c>
    </row>
    <row r="27" ht="15" spans="1:9">
      <c r="A27" s="10"/>
      <c r="B27" s="6" t="s">
        <v>81</v>
      </c>
      <c r="C27" s="6" t="s">
        <v>82</v>
      </c>
      <c r="D27" s="6" t="s">
        <v>83</v>
      </c>
      <c r="E27" s="7">
        <v>5.5</v>
      </c>
      <c r="F27" s="8">
        <f>5.5/330/6*330</f>
        <v>0.916666666666667</v>
      </c>
      <c r="G27" s="9">
        <f t="shared" si="1"/>
        <v>4.35059166666667</v>
      </c>
      <c r="H27" s="7" t="s">
        <v>14</v>
      </c>
      <c r="I27" s="7">
        <v>29</v>
      </c>
    </row>
    <row r="28" ht="15" spans="1:9">
      <c r="A28" s="10"/>
      <c r="B28" s="6" t="s">
        <v>84</v>
      </c>
      <c r="C28" s="6" t="s">
        <v>85</v>
      </c>
      <c r="D28" s="6" t="s">
        <v>86</v>
      </c>
      <c r="E28" s="7">
        <v>3.99</v>
      </c>
      <c r="F28" s="8">
        <f>3.99/500/2*330</f>
        <v>1.3167</v>
      </c>
      <c r="G28" s="9">
        <f t="shared" si="1"/>
        <v>6.24918987</v>
      </c>
      <c r="H28" s="7" t="s">
        <v>14</v>
      </c>
      <c r="I28" s="7">
        <v>11</v>
      </c>
    </row>
    <row r="29" ht="15" spans="1:9">
      <c r="A29" s="10"/>
      <c r="B29" s="6" t="s">
        <v>87</v>
      </c>
      <c r="C29" s="6" t="s">
        <v>88</v>
      </c>
      <c r="D29" s="6" t="s">
        <v>89</v>
      </c>
      <c r="E29" s="7">
        <v>1.89</v>
      </c>
      <c r="F29" s="8">
        <f>1.89/480*330</f>
        <v>1.299375</v>
      </c>
      <c r="G29" s="9">
        <f t="shared" si="1"/>
        <v>6.1669636875</v>
      </c>
      <c r="H29" s="7" t="s">
        <v>14</v>
      </c>
      <c r="I29" s="7">
        <v>28</v>
      </c>
    </row>
    <row r="30" ht="15" spans="1:9">
      <c r="A30" s="10"/>
      <c r="B30" s="6" t="s">
        <v>90</v>
      </c>
      <c r="C30" s="6" t="s">
        <v>91</v>
      </c>
      <c r="D30" s="6" t="s">
        <v>92</v>
      </c>
      <c r="E30" s="7">
        <v>8.99</v>
      </c>
      <c r="F30" s="8">
        <f>8.99/330/6*330</f>
        <v>1.49833333333333</v>
      </c>
      <c r="G30" s="9">
        <f t="shared" si="1"/>
        <v>7.11123983333333</v>
      </c>
      <c r="H30" s="7" t="s">
        <v>14</v>
      </c>
      <c r="I30" s="7">
        <v>297</v>
      </c>
    </row>
    <row r="31" ht="15" spans="1:9">
      <c r="A31" s="10"/>
      <c r="B31" s="6" t="s">
        <v>93</v>
      </c>
      <c r="C31" s="6" t="s">
        <v>94</v>
      </c>
      <c r="D31" s="6" t="s">
        <v>95</v>
      </c>
      <c r="E31" s="7">
        <v>2.59</v>
      </c>
      <c r="F31" s="8">
        <f>2.59/190/2*330</f>
        <v>2.24921052631579</v>
      </c>
      <c r="G31" s="9">
        <f t="shared" si="1"/>
        <v>10.6749780789474</v>
      </c>
      <c r="H31" s="7" t="s">
        <v>50</v>
      </c>
      <c r="I31" s="7">
        <v>3</v>
      </c>
    </row>
    <row r="32" ht="15" spans="1:9">
      <c r="A32" s="10"/>
      <c r="B32" s="6" t="s">
        <v>96</v>
      </c>
      <c r="C32" s="6" t="s">
        <v>97</v>
      </c>
      <c r="D32" s="6" t="s">
        <v>98</v>
      </c>
      <c r="E32" s="7">
        <v>4.69</v>
      </c>
      <c r="F32" s="8">
        <f>4.69/200*330</f>
        <v>7.7385</v>
      </c>
      <c r="G32" s="9">
        <f t="shared" si="1"/>
        <v>36.72769485</v>
      </c>
      <c r="H32" s="7" t="s">
        <v>60</v>
      </c>
      <c r="I32" s="7">
        <v>50</v>
      </c>
    </row>
    <row r="33" ht="15" spans="1:9">
      <c r="A33" s="10"/>
      <c r="B33" s="6" t="s">
        <v>99</v>
      </c>
      <c r="C33" s="6" t="s">
        <v>100</v>
      </c>
      <c r="D33" s="6" t="s">
        <v>101</v>
      </c>
      <c r="E33" s="7">
        <v>4.99</v>
      </c>
      <c r="F33" s="8">
        <f>4.99/200/2*330</f>
        <v>4.11675</v>
      </c>
      <c r="G33" s="9">
        <f t="shared" si="1"/>
        <v>19.538507175</v>
      </c>
      <c r="H33" s="7" t="s">
        <v>60</v>
      </c>
      <c r="I33" s="7">
        <v>21</v>
      </c>
    </row>
    <row r="34" ht="15" spans="1:9">
      <c r="A34" s="12"/>
      <c r="B34" s="6" t="s">
        <v>102</v>
      </c>
      <c r="C34" s="6" t="s">
        <v>103</v>
      </c>
      <c r="D34" s="6" t="s">
        <v>104</v>
      </c>
      <c r="E34" s="7">
        <v>3.49</v>
      </c>
      <c r="F34" s="8">
        <f>3.49/350*330</f>
        <v>3.29057142857143</v>
      </c>
      <c r="G34" s="9">
        <f t="shared" si="1"/>
        <v>15.6173810571429</v>
      </c>
      <c r="H34" s="7" t="s">
        <v>60</v>
      </c>
      <c r="I34" s="7">
        <v>32</v>
      </c>
    </row>
  </sheetData>
  <sheetProtection formatCells="0" insertHyperlinks="0" autoFilter="0"/>
  <mergeCells count="2">
    <mergeCell ref="A3:A23"/>
    <mergeCell ref="A25:A3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WWO_wpscloud_20250910221902-5b67da89ae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花景</cp:lastModifiedBy>
  <dcterms:created xsi:type="dcterms:W3CDTF">2025-09-17T14:12:00Z</dcterms:created>
  <dcterms:modified xsi:type="dcterms:W3CDTF">2025-09-17T06:27:33Z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FBE51283D05E3FA73B51CA68CB3438FF_41</vt:lpwstr>
  </property>
  <property fmtid="{D5CDD505-2E9C-101B-9397-08002B2CF9AE}" pid="3" name="KSOProductBuildVer">
    <vt:lpwstr>2052-12.1.0.22529</vt:lpwstr>
  </property>
</Properties>
</file>