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2026021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<sst xmlns="http://schemas.openxmlformats.org/spreadsheetml/2006/main" count="283" uniqueCount="149">
  <si>
    <t>德国果味饮料价格调研</t>
  </si>
  <si>
    <t>品类</t>
  </si>
  <si>
    <t>品牌</t>
  </si>
  <si>
    <t>品名</t>
  </si>
  <si>
    <t>规格</t>
  </si>
  <si>
    <t>促销价（€）</t>
  </si>
  <si>
    <t>换算300ml价格（€）</t>
  </si>
  <si>
    <t>300ml价格（￥）
1：8.1915</t>
  </si>
  <si>
    <t>原产地</t>
  </si>
  <si>
    <t>销量</t>
  </si>
  <si>
    <t>来源平台</t>
  </si>
  <si>
    <t>果汁</t>
  </si>
  <si>
    <t>汇源</t>
  </si>
  <si>
    <t>果蔬汁橙汁</t>
  </si>
  <si>
    <t>1L</t>
  </si>
  <si>
    <t>中国</t>
  </si>
  <si>
    <t>1000+</t>
  </si>
  <si>
    <t>ochama</t>
  </si>
  <si>
    <t>一颗大</t>
  </si>
  <si>
    <t>100%番茄汁</t>
  </si>
  <si>
    <t>270ml</t>
  </si>
  <si>
    <t>Rubicon</t>
  </si>
  <si>
    <t>香醇百香果汁</t>
  </si>
  <si>
    <t>300+</t>
  </si>
  <si>
    <t>荔枝汁</t>
  </si>
  <si>
    <t>goasia</t>
  </si>
  <si>
    <t>康师傅</t>
  </si>
  <si>
    <t>蜂蜜柚子</t>
  </si>
  <si>
    <t>500ml</t>
  </si>
  <si>
    <t>打酱油</t>
  </si>
  <si>
    <t>水蜜桃饮料</t>
  </si>
  <si>
    <t>250ml</t>
  </si>
  <si>
    <t>好想你</t>
  </si>
  <si>
    <t>枣山楂</t>
  </si>
  <si>
    <t>380ml</t>
  </si>
  <si>
    <t>Mabu Coco</t>
  </si>
  <si>
    <t>椰果葡萄汁</t>
  </si>
  <si>
    <t>320ml</t>
  </si>
  <si>
    <t>清蓝</t>
  </si>
  <si>
    <t>凤梨汁</t>
  </si>
  <si>
    <t>310ml</t>
  </si>
  <si>
    <t>统一</t>
  </si>
  <si>
    <t>金桔柠檬（利乐包）</t>
  </si>
  <si>
    <t>生和堂</t>
  </si>
  <si>
    <t>金银花双柚汁</t>
  </si>
  <si>
    <t>200ml</t>
  </si>
  <si>
    <t>天喔</t>
  </si>
  <si>
    <t>葡萄汁（利乐包）</t>
  </si>
  <si>
    <t>Capri Sun</t>
  </si>
  <si>
    <t>混合味果汁</t>
  </si>
  <si>
    <t>200ml*10</t>
  </si>
  <si>
    <t>德国</t>
  </si>
  <si>
    <t>12000+</t>
  </si>
  <si>
    <t>德拉菲</t>
  </si>
  <si>
    <t>菠萝椰子味饮料</t>
  </si>
  <si>
    <t>340ml</t>
  </si>
  <si>
    <t>400+</t>
  </si>
  <si>
    <t>Granini</t>
  </si>
  <si>
    <t>橙芒果汁</t>
  </si>
  <si>
    <t>100+</t>
  </si>
  <si>
    <t>hohes C</t>
  </si>
  <si>
    <t>多种维生素果汁</t>
  </si>
  <si>
    <t>Amecke</t>
  </si>
  <si>
    <t>梨苹果果汁混合饮料</t>
  </si>
  <si>
    <t>1L*6</t>
  </si>
  <si>
    <t>20+</t>
  </si>
  <si>
    <t>Jeden Tag</t>
  </si>
  <si>
    <t>100%橙汁</t>
  </si>
  <si>
    <t>10+</t>
  </si>
  <si>
    <t>Hipp</t>
  </si>
  <si>
    <t>多种水果胡萝卜原榨果汁</t>
  </si>
  <si>
    <t>330ml*6</t>
  </si>
  <si>
    <t>WeserGold</t>
  </si>
  <si>
    <t>橙汁</t>
  </si>
  <si>
    <t>330ml</t>
  </si>
  <si>
    <t>30+</t>
  </si>
  <si>
    <t>RAUCH</t>
  </si>
  <si>
    <t>青苹果汁</t>
  </si>
  <si>
    <t>奥地利</t>
  </si>
  <si>
    <t>MoguMogu</t>
  </si>
  <si>
    <t>椰子风味饮料含椰果</t>
  </si>
  <si>
    <t>美国</t>
  </si>
  <si>
    <t>2000+</t>
  </si>
  <si>
    <t>椰汁</t>
  </si>
  <si>
    <t>FOCO</t>
  </si>
  <si>
    <t>芒果百香果饮料</t>
  </si>
  <si>
    <t>350ml</t>
  </si>
  <si>
    <t>4000+</t>
  </si>
  <si>
    <t>芒果饮料</t>
  </si>
  <si>
    <t>OKF</t>
  </si>
  <si>
    <t>芦荟汁</t>
  </si>
  <si>
    <t>1.5L</t>
  </si>
  <si>
    <t>韩国</t>
  </si>
  <si>
    <t>51000+</t>
  </si>
  <si>
    <t>Mcnulty</t>
  </si>
  <si>
    <t>杏汁饮料</t>
  </si>
  <si>
    <t>190ml</t>
  </si>
  <si>
    <t>海太</t>
  </si>
  <si>
    <t>梨味梨汁饮料</t>
  </si>
  <si>
    <t>238ml*12</t>
  </si>
  <si>
    <t>美颜梨子汁</t>
  </si>
  <si>
    <t>238ml</t>
  </si>
  <si>
    <t>Sagiko</t>
  </si>
  <si>
    <t>芒果果汁</t>
  </si>
  <si>
    <t>新加坡</t>
  </si>
  <si>
    <t>5000+</t>
  </si>
  <si>
    <t>荔枝饮料</t>
  </si>
  <si>
    <t>促销价（＄）</t>
  </si>
  <si>
    <t>换算330ml价格</t>
  </si>
  <si>
    <t>销量（按评价数）</t>
  </si>
  <si>
    <t>汽水</t>
  </si>
  <si>
    <t>汉口二厂</t>
  </si>
  <si>
    <t>汽水桔子味</t>
  </si>
  <si>
    <t>275ml</t>
  </si>
  <si>
    <t>900+</t>
  </si>
  <si>
    <t>大窑</t>
  </si>
  <si>
    <t>果汁汽水</t>
  </si>
  <si>
    <t>480ml</t>
  </si>
  <si>
    <t>大窑嘉宾果味汽水</t>
  </si>
  <si>
    <t>元气森林</t>
  </si>
  <si>
    <t>苏打气泡水荔枝味</t>
  </si>
  <si>
    <t>荔枝味气泡水</t>
  </si>
  <si>
    <t>番茄乌梅气泡水</t>
  </si>
  <si>
    <t>华洋1982</t>
  </si>
  <si>
    <t>汽水凤梨味</t>
  </si>
  <si>
    <t>358ml</t>
  </si>
  <si>
    <t>珍珍</t>
  </si>
  <si>
    <t>桔味汽水</t>
  </si>
  <si>
    <t>珍宝珠</t>
  </si>
  <si>
    <t>葡萄汽水</t>
  </si>
  <si>
    <t>345ml</t>
  </si>
  <si>
    <t>西班牙</t>
  </si>
  <si>
    <t>芬达</t>
  </si>
  <si>
    <t>橙味汽水</t>
  </si>
  <si>
    <t>330ml*24</t>
  </si>
  <si>
    <t>乐天</t>
  </si>
  <si>
    <t>牛奶汽水蜜瓜味</t>
  </si>
  <si>
    <t>37000+</t>
  </si>
  <si>
    <t>牛奶碳酸饮料哈密瓜味</t>
  </si>
  <si>
    <t>TWF</t>
  </si>
  <si>
    <t>蓝柠檬汽水</t>
  </si>
  <si>
    <t>240ml</t>
  </si>
  <si>
    <t>200+</t>
  </si>
  <si>
    <t>Caffe Bene</t>
  </si>
  <si>
    <t>蜂蜜西柚气泡水</t>
  </si>
  <si>
    <t>HATA</t>
  </si>
  <si>
    <t>弹珠汽水葡萄味</t>
  </si>
  <si>
    <t>日本</t>
  </si>
  <si>
    <t>弹珠汽水荔枝味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</si>
</sst>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8"/>
      <color rgb="FF000000"/>
      <name val="等线"/>
      <charset val="134"/>
    </font>
    <font>
      <sz val="12"/>
      <color rgb="FF000000"/>
      <name val="等线"/>
      <charset val="134"/>
    </font>
    <font>
      <b/>
      <sz val="12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sz val="10"/>
      <color rgb="FF000000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2" fontId="4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0" borderId="0" xfId="6" applyFill="1" applyAlignment="1">
      <alignment vertical="center"/>
    </xf>
    <xf numFmtId="0" fontId="6" fillId="0" borderId="0" xfId="0" applyFont="1" applyFill="1" applyAlignment="1">
      <alignment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2"/>
  <sheetViews>
    <sheetView tabSelected="1" workbookViewId="0">
      <selection activeCell="A1" sqref="A1"/>
    </sheetView>
  </sheetViews>
  <sheetFormatPr defaultColWidth="11.3359375" defaultRowHeight="13.85"/>
  <cols>
    <col min="1" max="1" width="11.3359375" style="1"/>
    <col min="2" max="2" width="14" style="2" customWidth="1"/>
    <col min="3" max="3" width="25.4453125" style="1" customWidth="1"/>
    <col min="4" max="4" width="11.3359375" style="1"/>
    <col min="5" max="5" width="12.109375" style="1" customWidth="1"/>
    <col min="6" max="6" width="20.65625" style="1" customWidth="1"/>
    <col min="7" max="7" width="16.4921875" style="1" customWidth="1"/>
    <col min="8" max="8" width="11.3359375" style="1"/>
    <col min="9" max="9" width="16" style="1" customWidth="1"/>
    <col min="10" max="10" width="11.3359375" style="1"/>
    <col min="11" max="11" width="18.78125" style="1"/>
    <col min="12" max="16384" width="11.3359375" style="1"/>
  </cols>
  <sheetData>
    <row r="1" ht="22.5" spans="1:11">
      <c r="A1" s="3" t="s">
        <v>0</v>
      </c>
    </row>
    <row r="2" ht="30" spans="1:1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4" t="s">
        <v>8</v>
      </c>
      <c r="I2" s="4" t="s">
        <v>9</v>
      </c>
      <c r="J2" s="4" t="s">
        <v>10</v>
      </c>
      <c r="K2" s="6"/>
    </row>
    <row r="3" ht="15" spans="1:11">
      <c r="A3" s="7" t="s">
        <v>11</v>
      </c>
      <c r="B3" s="8" t="s">
        <v>12</v>
      </c>
      <c r="C3" s="9" t="s">
        <v>13</v>
      </c>
      <c r="D3" s="9" t="s">
        <v>14</v>
      </c>
      <c r="E3" s="8">
        <v>2.72</v>
      </c>
      <c r="F3" s="10">
        <f>2.72/1000*300</f>
        <v>0.816</v>
      </c>
      <c r="G3" s="11">
        <f>F3*8.1915</f>
        <v>6.684264</v>
      </c>
      <c r="H3" s="8" t="s">
        <v>15</v>
      </c>
      <c r="I3" s="8" t="s">
        <v>16</v>
      </c>
      <c r="J3" s="8" t="s">
        <v>17</v>
      </c>
      <c r="K3" s="12"/>
    </row>
    <row r="4" ht="15" spans="1:11">
      <c r="A4" s="13"/>
      <c r="B4" s="8" t="s">
        <v>18</v>
      </c>
      <c r="C4" s="9" t="s">
        <v>19</v>
      </c>
      <c r="D4" s="9" t="s">
        <v>20</v>
      </c>
      <c r="E4" s="8">
        <v>1.91</v>
      </c>
      <c r="F4" s="10">
        <f>1.91/270*300</f>
        <v>2.12222222222222</v>
      </c>
      <c r="G4" s="11">
        <f>F4*8.1915</f>
        <v>17.3841833333333</v>
      </c>
      <c r="H4" s="8" t="s">
        <v>15</v>
      </c>
      <c r="I4" s="8" t="s">
        <v>16</v>
      </c>
      <c r="J4" s="8" t="s">
        <v>17</v>
      </c>
      <c r="K4" s="12"/>
    </row>
    <row r="5" ht="15" spans="1:11">
      <c r="A5" s="13"/>
      <c r="B5" s="7" t="s">
        <v>21</v>
      </c>
      <c r="C5" s="9" t="s">
        <v>22</v>
      </c>
      <c r="D5" s="9" t="s">
        <v>14</v>
      </c>
      <c r="E5" s="8">
        <v>2.39</v>
      </c>
      <c r="F5" s="10">
        <f>2.39/1000*300</f>
        <v>0.717</v>
      </c>
      <c r="G5" s="11">
        <f>F5*8.1915</f>
        <v>5.8733055</v>
      </c>
      <c r="H5" s="8" t="s">
        <v>15</v>
      </c>
      <c r="I5" s="8" t="s">
        <v>23</v>
      </c>
      <c r="J5" s="8" t="s">
        <v>17</v>
      </c>
    </row>
    <row r="6" ht="15" spans="1:11">
      <c r="A6" s="13"/>
      <c r="B6" s="14"/>
      <c r="C6" s="9" t="s">
        <v>24</v>
      </c>
      <c r="D6" s="9" t="s">
        <v>14</v>
      </c>
      <c r="E6" s="8">
        <v>2.99</v>
      </c>
      <c r="F6" s="10">
        <f>2.99/1000*300</f>
        <v>0.897</v>
      </c>
      <c r="G6" s="11">
        <f>F6*8.1915</f>
        <v>7.3477755</v>
      </c>
      <c r="H6" s="8" t="s">
        <v>15</v>
      </c>
      <c r="I6" s="8">
        <v>0</v>
      </c>
      <c r="J6" s="8" t="s">
        <v>25</v>
      </c>
    </row>
    <row r="7" ht="15" spans="1:11">
      <c r="A7" s="13"/>
      <c r="B7" s="7" t="s">
        <v>26</v>
      </c>
      <c r="C7" s="9" t="s">
        <v>27</v>
      </c>
      <c r="D7" s="9" t="s">
        <v>28</v>
      </c>
      <c r="E7" s="8">
        <v>1.29</v>
      </c>
      <c r="F7" s="10">
        <f>1.29/500*300</f>
        <v>0.774</v>
      </c>
      <c r="G7" s="11">
        <f t="shared" ref="G7:G35" si="0">F7*8.1915</f>
        <v>6.340221</v>
      </c>
      <c r="H7" s="8" t="s">
        <v>15</v>
      </c>
      <c r="I7" s="8">
        <v>64</v>
      </c>
      <c r="J7" s="8" t="s">
        <v>29</v>
      </c>
    </row>
    <row r="8" ht="15" spans="1:11">
      <c r="A8" s="13"/>
      <c r="B8" s="14"/>
      <c r="C8" s="9" t="s">
        <v>30</v>
      </c>
      <c r="D8" s="9" t="s">
        <v>31</v>
      </c>
      <c r="E8" s="8">
        <v>0.69</v>
      </c>
      <c r="F8" s="10">
        <f>0.69/250*300</f>
        <v>0.828</v>
      </c>
      <c r="G8" s="11">
        <f t="shared" si="0"/>
        <v>6.782562</v>
      </c>
      <c r="H8" s="8" t="s">
        <v>15</v>
      </c>
      <c r="I8" s="8">
        <v>0</v>
      </c>
      <c r="J8" s="8" t="s">
        <v>25</v>
      </c>
    </row>
    <row r="9" ht="15" spans="1:11">
      <c r="A9" s="13"/>
      <c r="B9" s="8" t="s">
        <v>32</v>
      </c>
      <c r="C9" s="9" t="s">
        <v>33</v>
      </c>
      <c r="D9" s="9" t="s">
        <v>34</v>
      </c>
      <c r="E9" s="8">
        <v>1.99</v>
      </c>
      <c r="F9" s="10">
        <f>1.99/380*300</f>
        <v>1.57105263157895</v>
      </c>
      <c r="G9" s="11">
        <f t="shared" si="0"/>
        <v>12.869277631579</v>
      </c>
      <c r="H9" s="8" t="s">
        <v>15</v>
      </c>
      <c r="I9" s="8">
        <v>1</v>
      </c>
      <c r="J9" s="8" t="s">
        <v>29</v>
      </c>
    </row>
    <row r="10" ht="15" spans="1:11">
      <c r="A10" s="13"/>
      <c r="B10" s="8" t="s">
        <v>35</v>
      </c>
      <c r="C10" s="9" t="s">
        <v>36</v>
      </c>
      <c r="D10" s="9" t="s">
        <v>37</v>
      </c>
      <c r="E10" s="8">
        <v>1.29</v>
      </c>
      <c r="F10" s="10">
        <f>1.29/320*300</f>
        <v>1.209375</v>
      </c>
      <c r="G10" s="11">
        <f t="shared" si="0"/>
        <v>9.9065953125</v>
      </c>
      <c r="H10" s="8" t="s">
        <v>15</v>
      </c>
      <c r="I10" s="8">
        <v>13</v>
      </c>
      <c r="J10" s="8" t="s">
        <v>29</v>
      </c>
    </row>
    <row r="11" ht="15" spans="1:11">
      <c r="A11" s="13"/>
      <c r="B11" s="8" t="s">
        <v>38</v>
      </c>
      <c r="C11" s="9" t="s">
        <v>39</v>
      </c>
      <c r="D11" s="9" t="s">
        <v>40</v>
      </c>
      <c r="E11" s="8">
        <v>1.48</v>
      </c>
      <c r="F11" s="10">
        <f>1.48/310*300</f>
        <v>1.43225806451613</v>
      </c>
      <c r="G11" s="11">
        <f t="shared" si="0"/>
        <v>11.7323419354839</v>
      </c>
      <c r="H11" s="8" t="s">
        <v>15</v>
      </c>
      <c r="I11" s="8">
        <v>2</v>
      </c>
      <c r="J11" s="8" t="s">
        <v>29</v>
      </c>
    </row>
    <row r="12" ht="15" spans="1:11">
      <c r="A12" s="13"/>
      <c r="B12" s="8" t="s">
        <v>41</v>
      </c>
      <c r="C12" s="9" t="s">
        <v>42</v>
      </c>
      <c r="D12" s="9" t="s">
        <v>31</v>
      </c>
      <c r="E12" s="8">
        <v>0.69</v>
      </c>
      <c r="F12" s="10">
        <f>0.69/250*300</f>
        <v>0.828</v>
      </c>
      <c r="G12" s="11">
        <f t="shared" si="0"/>
        <v>6.782562</v>
      </c>
      <c r="H12" s="8" t="s">
        <v>15</v>
      </c>
      <c r="I12" s="8">
        <v>0</v>
      </c>
      <c r="J12" s="8" t="s">
        <v>25</v>
      </c>
      <c r="K12" s="15"/>
    </row>
    <row r="13" ht="15" spans="1:11">
      <c r="A13" s="13"/>
      <c r="B13" s="8" t="s">
        <v>43</v>
      </c>
      <c r="C13" s="9" t="s">
        <v>44</v>
      </c>
      <c r="D13" s="9" t="s">
        <v>45</v>
      </c>
      <c r="E13" s="8">
        <v>1.39</v>
      </c>
      <c r="F13" s="10">
        <f>1.39/200*300</f>
        <v>2.085</v>
      </c>
      <c r="G13" s="11">
        <f t="shared" si="0"/>
        <v>17.0792775</v>
      </c>
      <c r="H13" s="8" t="s">
        <v>15</v>
      </c>
      <c r="I13" s="8">
        <v>0</v>
      </c>
      <c r="J13" s="8" t="s">
        <v>25</v>
      </c>
      <c r="K13" s="15"/>
    </row>
    <row r="14" ht="15" spans="1:11">
      <c r="A14" s="13"/>
      <c r="B14" s="8" t="s">
        <v>46</v>
      </c>
      <c r="C14" s="9" t="s">
        <v>47</v>
      </c>
      <c r="D14" s="9" t="s">
        <v>31</v>
      </c>
      <c r="E14" s="8">
        <v>0.69</v>
      </c>
      <c r="F14" s="10">
        <f>0.69/250*300</f>
        <v>0.828</v>
      </c>
      <c r="G14" s="11">
        <f t="shared" si="0"/>
        <v>6.782562</v>
      </c>
      <c r="H14" s="8" t="s">
        <v>15</v>
      </c>
      <c r="I14" s="8">
        <v>0</v>
      </c>
      <c r="J14" s="8" t="s">
        <v>25</v>
      </c>
      <c r="K14" s="15"/>
    </row>
    <row r="15" ht="15" spans="1:11">
      <c r="A15" s="13"/>
      <c r="B15" s="8" t="s">
        <v>48</v>
      </c>
      <c r="C15" s="9" t="s">
        <v>49</v>
      </c>
      <c r="D15" s="9" t="s">
        <v>50</v>
      </c>
      <c r="E15" s="8">
        <v>3.39</v>
      </c>
      <c r="F15" s="10">
        <f>3.39/200/10*300</f>
        <v>0.5085</v>
      </c>
      <c r="G15" s="11">
        <f t="shared" si="0"/>
        <v>4.16537775</v>
      </c>
      <c r="H15" s="8" t="s">
        <v>51</v>
      </c>
      <c r="I15" s="8" t="s">
        <v>52</v>
      </c>
      <c r="J15" s="8" t="s">
        <v>17</v>
      </c>
      <c r="K15" s="16"/>
    </row>
    <row r="16" ht="15" spans="1:11">
      <c r="A16" s="13"/>
      <c r="B16" s="8" t="s">
        <v>53</v>
      </c>
      <c r="C16" s="9" t="s">
        <v>54</v>
      </c>
      <c r="D16" s="9" t="s">
        <v>55</v>
      </c>
      <c r="E16" s="8">
        <v>0.99</v>
      </c>
      <c r="F16" s="10">
        <f>0.99/340*300</f>
        <v>0.873529411764706</v>
      </c>
      <c r="G16" s="11">
        <f t="shared" si="0"/>
        <v>7.15551617647059</v>
      </c>
      <c r="H16" s="8" t="s">
        <v>51</v>
      </c>
      <c r="I16" s="8" t="s">
        <v>56</v>
      </c>
      <c r="J16" s="8" t="s">
        <v>17</v>
      </c>
      <c r="K16" s="16"/>
    </row>
    <row r="17" ht="15" spans="1:11">
      <c r="A17" s="13"/>
      <c r="B17" s="8" t="s">
        <v>57</v>
      </c>
      <c r="C17" s="9" t="s">
        <v>58</v>
      </c>
      <c r="D17" s="9" t="s">
        <v>14</v>
      </c>
      <c r="E17" s="8">
        <v>2.69</v>
      </c>
      <c r="F17" s="10">
        <f>2.69/1000*300</f>
        <v>0.807</v>
      </c>
      <c r="G17" s="11">
        <f t="shared" si="0"/>
        <v>6.6105405</v>
      </c>
      <c r="H17" s="8" t="s">
        <v>51</v>
      </c>
      <c r="I17" s="8" t="s">
        <v>59</v>
      </c>
      <c r="J17" s="8" t="s">
        <v>17</v>
      </c>
      <c r="K17" s="16"/>
    </row>
    <row r="18" ht="15" spans="1:11">
      <c r="A18" s="13"/>
      <c r="B18" s="8" t="s">
        <v>60</v>
      </c>
      <c r="C18" s="9" t="s">
        <v>61</v>
      </c>
      <c r="D18" s="9" t="s">
        <v>14</v>
      </c>
      <c r="E18" s="8">
        <v>2.99</v>
      </c>
      <c r="F18" s="10">
        <f>2.99/1000*300</f>
        <v>0.897</v>
      </c>
      <c r="G18" s="11">
        <f t="shared" si="0"/>
        <v>7.3477755</v>
      </c>
      <c r="H18" s="8" t="s">
        <v>51</v>
      </c>
      <c r="I18" s="8" t="s">
        <v>59</v>
      </c>
      <c r="J18" s="8" t="s">
        <v>17</v>
      </c>
      <c r="K18" s="16"/>
    </row>
    <row r="19" ht="15" spans="1:11">
      <c r="A19" s="13"/>
      <c r="B19" s="8" t="s">
        <v>62</v>
      </c>
      <c r="C19" s="9" t="s">
        <v>63</v>
      </c>
      <c r="D19" s="9" t="s">
        <v>64</v>
      </c>
      <c r="E19" s="17">
        <v>10.79</v>
      </c>
      <c r="F19" s="10">
        <f>10.79/1000/6*300</f>
        <v>0.5395</v>
      </c>
      <c r="G19" s="11">
        <f t="shared" si="0"/>
        <v>4.41931425</v>
      </c>
      <c r="H19" s="8" t="s">
        <v>51</v>
      </c>
      <c r="I19" s="8" t="s">
        <v>65</v>
      </c>
      <c r="J19" s="8" t="s">
        <v>17</v>
      </c>
      <c r="K19" s="16"/>
    </row>
    <row r="20" ht="15" spans="1:11">
      <c r="A20" s="13"/>
      <c r="B20" s="8" t="s">
        <v>66</v>
      </c>
      <c r="C20" s="9" t="s">
        <v>67</v>
      </c>
      <c r="D20" s="9" t="s">
        <v>64</v>
      </c>
      <c r="E20" s="8">
        <v>14.99</v>
      </c>
      <c r="F20" s="10">
        <f>14.99/1000/6*300</f>
        <v>0.7495</v>
      </c>
      <c r="G20" s="11">
        <f t="shared" si="0"/>
        <v>6.13952925</v>
      </c>
      <c r="H20" s="8" t="s">
        <v>51</v>
      </c>
      <c r="I20" s="8" t="s">
        <v>68</v>
      </c>
      <c r="J20" s="8" t="s">
        <v>17</v>
      </c>
      <c r="K20" s="16"/>
    </row>
    <row r="21" ht="15" spans="1:11">
      <c r="A21" s="13"/>
      <c r="B21" s="8" t="s">
        <v>69</v>
      </c>
      <c r="C21" s="9" t="s">
        <v>70</v>
      </c>
      <c r="D21" s="9" t="s">
        <v>71</v>
      </c>
      <c r="E21" s="8">
        <v>9.3</v>
      </c>
      <c r="F21" s="10">
        <f>9.3/330/6*300</f>
        <v>1.40909090909091</v>
      </c>
      <c r="G21" s="11">
        <f t="shared" si="0"/>
        <v>11.5425681818182</v>
      </c>
      <c r="H21" s="8" t="s">
        <v>51</v>
      </c>
      <c r="I21" s="8">
        <v>6</v>
      </c>
      <c r="J21" s="8" t="s">
        <v>17</v>
      </c>
      <c r="K21" s="16"/>
    </row>
    <row r="22" ht="15" spans="1:11">
      <c r="A22" s="13"/>
      <c r="B22" s="8" t="s">
        <v>72</v>
      </c>
      <c r="C22" s="9" t="s">
        <v>73</v>
      </c>
      <c r="D22" s="9" t="s">
        <v>74</v>
      </c>
      <c r="E22" s="8">
        <v>1.39</v>
      </c>
      <c r="F22" s="10">
        <f>1.39/330*300</f>
        <v>1.26363636363636</v>
      </c>
      <c r="G22" s="11">
        <f t="shared" si="0"/>
        <v>10.3510772727272</v>
      </c>
      <c r="H22" s="8" t="s">
        <v>51</v>
      </c>
      <c r="I22" s="8" t="s">
        <v>75</v>
      </c>
      <c r="J22" s="8" t="s">
        <v>17</v>
      </c>
      <c r="K22" s="16"/>
    </row>
    <row r="23" ht="15" spans="1:11">
      <c r="A23" s="13"/>
      <c r="B23" s="8" t="s">
        <v>76</v>
      </c>
      <c r="C23" s="9" t="s">
        <v>77</v>
      </c>
      <c r="D23" s="9" t="s">
        <v>28</v>
      </c>
      <c r="E23" s="8">
        <v>0.95</v>
      </c>
      <c r="F23" s="10">
        <f>0.95/500*300</f>
        <v>0.57</v>
      </c>
      <c r="G23" s="11">
        <f t="shared" si="0"/>
        <v>4.669155</v>
      </c>
      <c r="H23" s="8" t="s">
        <v>78</v>
      </c>
      <c r="I23" s="8" t="s">
        <v>59</v>
      </c>
      <c r="J23" s="8" t="s">
        <v>17</v>
      </c>
      <c r="K23" s="16"/>
    </row>
    <row r="24" ht="15" spans="1:11">
      <c r="A24" s="13"/>
      <c r="B24" s="7" t="s">
        <v>79</v>
      </c>
      <c r="C24" s="9" t="s">
        <v>80</v>
      </c>
      <c r="D24" s="9" t="s">
        <v>14</v>
      </c>
      <c r="E24" s="8">
        <v>2.99</v>
      </c>
      <c r="F24" s="10">
        <f>2.99/1000*300</f>
        <v>0.897</v>
      </c>
      <c r="G24" s="11">
        <f t="shared" si="0"/>
        <v>7.3477755</v>
      </c>
      <c r="H24" s="8" t="s">
        <v>81</v>
      </c>
      <c r="I24" s="8" t="s">
        <v>82</v>
      </c>
      <c r="J24" s="8" t="s">
        <v>17</v>
      </c>
    </row>
    <row r="25" ht="15" spans="1:11">
      <c r="A25" s="13"/>
      <c r="B25" s="14"/>
      <c r="C25" s="9" t="s">
        <v>83</v>
      </c>
      <c r="D25" s="9" t="s">
        <v>37</v>
      </c>
      <c r="E25" s="8">
        <f>1.79-0.25</f>
        <v>1.54</v>
      </c>
      <c r="F25" s="10">
        <f>1.54/320*300</f>
        <v>1.44375</v>
      </c>
      <c r="G25" s="11">
        <f t="shared" si="0"/>
        <v>11.826478125</v>
      </c>
      <c r="H25" s="8" t="s">
        <v>81</v>
      </c>
      <c r="I25" s="8">
        <v>0</v>
      </c>
      <c r="J25" s="8" t="s">
        <v>25</v>
      </c>
    </row>
    <row r="26" ht="15" spans="1:11">
      <c r="A26" s="13"/>
      <c r="B26" s="7" t="s">
        <v>84</v>
      </c>
      <c r="C26" s="9" t="s">
        <v>85</v>
      </c>
      <c r="D26" s="9" t="s">
        <v>86</v>
      </c>
      <c r="E26" s="8">
        <v>1.39</v>
      </c>
      <c r="F26" s="10">
        <f>1.39/350*300</f>
        <v>1.19142857142857</v>
      </c>
      <c r="G26" s="11">
        <f t="shared" si="0"/>
        <v>9.75958714285713</v>
      </c>
      <c r="H26" s="8" t="s">
        <v>81</v>
      </c>
      <c r="I26" s="8" t="s">
        <v>87</v>
      </c>
      <c r="J26" s="8" t="s">
        <v>17</v>
      </c>
    </row>
    <row r="27" ht="15" spans="1:11">
      <c r="A27" s="13"/>
      <c r="B27" s="13"/>
      <c r="C27" s="9" t="s">
        <v>88</v>
      </c>
      <c r="D27" s="9" t="s">
        <v>86</v>
      </c>
      <c r="E27" s="8">
        <v>2.29</v>
      </c>
      <c r="F27" s="10">
        <f>2.29/350*300</f>
        <v>1.96285714285714</v>
      </c>
      <c r="G27" s="11">
        <f t="shared" si="0"/>
        <v>16.0787442857143</v>
      </c>
      <c r="H27" s="8" t="s">
        <v>81</v>
      </c>
      <c r="I27" s="8">
        <v>0</v>
      </c>
      <c r="J27" s="8" t="s">
        <v>25</v>
      </c>
    </row>
    <row r="28" ht="15" spans="1:11">
      <c r="A28" s="13"/>
      <c r="B28" s="7" t="s">
        <v>89</v>
      </c>
      <c r="C28" s="9" t="s">
        <v>90</v>
      </c>
      <c r="D28" s="9" t="s">
        <v>91</v>
      </c>
      <c r="E28" s="8">
        <v>2.99</v>
      </c>
      <c r="F28" s="10">
        <f>2.99/1500*300</f>
        <v>0.598</v>
      </c>
      <c r="G28" s="11">
        <f t="shared" si="0"/>
        <v>4.898517</v>
      </c>
      <c r="H28" s="8" t="s">
        <v>92</v>
      </c>
      <c r="I28" s="8" t="s">
        <v>93</v>
      </c>
      <c r="J28" s="8" t="s">
        <v>17</v>
      </c>
    </row>
    <row r="29" ht="15" spans="1:11">
      <c r="A29" s="13"/>
      <c r="B29" s="13"/>
      <c r="C29" s="9" t="s">
        <v>90</v>
      </c>
      <c r="D29" s="9" t="s">
        <v>91</v>
      </c>
      <c r="E29" s="8">
        <v>3.99</v>
      </c>
      <c r="F29" s="10">
        <f>3.99/1500*300</f>
        <v>0.798</v>
      </c>
      <c r="G29" s="11">
        <f t="shared" si="0"/>
        <v>6.536817</v>
      </c>
      <c r="H29" s="8" t="s">
        <v>92</v>
      </c>
      <c r="I29" s="8">
        <v>191</v>
      </c>
      <c r="J29" s="8" t="s">
        <v>29</v>
      </c>
    </row>
    <row r="30" ht="15" spans="1:11">
      <c r="A30" s="13"/>
      <c r="B30" s="14"/>
      <c r="C30" s="9" t="s">
        <v>90</v>
      </c>
      <c r="D30" s="9" t="s">
        <v>91</v>
      </c>
      <c r="E30" s="8">
        <f>3.39-0.25</f>
        <v>3.14</v>
      </c>
      <c r="F30" s="10">
        <f>3.14/1500*300</f>
        <v>0.628</v>
      </c>
      <c r="G30" s="11">
        <f t="shared" si="0"/>
        <v>5.144262</v>
      </c>
      <c r="H30" s="8" t="s">
        <v>92</v>
      </c>
      <c r="I30" s="8">
        <v>0</v>
      </c>
      <c r="J30" s="8" t="s">
        <v>25</v>
      </c>
      <c r="K30" s="15"/>
    </row>
    <row r="31" ht="15" spans="1:11">
      <c r="A31" s="13"/>
      <c r="B31" s="8" t="s">
        <v>94</v>
      </c>
      <c r="C31" s="9" t="s">
        <v>95</v>
      </c>
      <c r="D31" s="9" t="s">
        <v>96</v>
      </c>
      <c r="E31" s="8">
        <v>0.99</v>
      </c>
      <c r="F31" s="10">
        <f>0.99/190*300</f>
        <v>1.56315789473684</v>
      </c>
      <c r="G31" s="11">
        <f t="shared" si="0"/>
        <v>12.8046078947368</v>
      </c>
      <c r="H31" s="8" t="s">
        <v>92</v>
      </c>
      <c r="I31" s="8" t="s">
        <v>23</v>
      </c>
      <c r="J31" s="8" t="s">
        <v>17</v>
      </c>
    </row>
    <row r="32" ht="15" spans="1:11">
      <c r="A32" s="13"/>
      <c r="B32" s="7" t="s">
        <v>97</v>
      </c>
      <c r="C32" s="9" t="s">
        <v>98</v>
      </c>
      <c r="D32" s="9" t="s">
        <v>99</v>
      </c>
      <c r="E32" s="8">
        <v>15.99</v>
      </c>
      <c r="F32" s="10">
        <f>15.99/238/12*300</f>
        <v>1.6796218487395</v>
      </c>
      <c r="G32" s="11">
        <f t="shared" si="0"/>
        <v>13.7586223739496</v>
      </c>
      <c r="H32" s="8" t="s">
        <v>92</v>
      </c>
      <c r="I32" s="8">
        <v>3</v>
      </c>
      <c r="J32" s="8" t="s">
        <v>17</v>
      </c>
    </row>
    <row r="33" ht="15" spans="1:10">
      <c r="A33" s="13"/>
      <c r="B33" s="14"/>
      <c r="C33" s="9" t="s">
        <v>100</v>
      </c>
      <c r="D33" s="9" t="s">
        <v>101</v>
      </c>
      <c r="E33" s="8">
        <v>1.58</v>
      </c>
      <c r="F33" s="10">
        <f>1.58/238*300</f>
        <v>1.99159663865546</v>
      </c>
      <c r="G33" s="11">
        <f t="shared" si="0"/>
        <v>16.3141638655462</v>
      </c>
      <c r="H33" s="8" t="s">
        <v>92</v>
      </c>
      <c r="I33" s="8">
        <v>16</v>
      </c>
      <c r="J33" s="8" t="s">
        <v>29</v>
      </c>
    </row>
    <row r="34" ht="15" spans="1:10">
      <c r="A34" s="13"/>
      <c r="B34" s="7" t="s">
        <v>102</v>
      </c>
      <c r="C34" s="9" t="s">
        <v>103</v>
      </c>
      <c r="D34" s="9" t="s">
        <v>37</v>
      </c>
      <c r="E34" s="8">
        <v>1.29</v>
      </c>
      <c r="F34" s="10">
        <f>1.29/320*300</f>
        <v>1.209375</v>
      </c>
      <c r="G34" s="11">
        <f t="shared" si="0"/>
        <v>9.9065953125</v>
      </c>
      <c r="H34" s="8" t="s">
        <v>104</v>
      </c>
      <c r="I34" s="8" t="s">
        <v>105</v>
      </c>
      <c r="J34" s="8" t="s">
        <v>17</v>
      </c>
    </row>
    <row r="35" ht="15" spans="1:10">
      <c r="A35" s="13"/>
      <c r="B35" s="14"/>
      <c r="C35" s="9" t="s">
        <v>106</v>
      </c>
      <c r="D35" s="9" t="s">
        <v>37</v>
      </c>
      <c r="E35" s="8">
        <f>1.59-0.25</f>
        <v>1.34</v>
      </c>
      <c r="F35" s="10">
        <f>1.34/320*300</f>
        <v>1.25625</v>
      </c>
      <c r="G35" s="11">
        <f t="shared" si="0"/>
        <v>10.290571875</v>
      </c>
      <c r="H35" s="8" t="s">
        <v>104</v>
      </c>
      <c r="I35" s="8">
        <v>0</v>
      </c>
      <c r="J35" s="8" t="s">
        <v>25</v>
      </c>
    </row>
    <row r="36" ht="30" spans="1:10">
      <c r="A36" s="4" t="s">
        <v>1</v>
      </c>
      <c r="B36" s="4" t="s">
        <v>2</v>
      </c>
      <c r="C36" s="4" t="s">
        <v>3</v>
      </c>
      <c r="D36" s="4" t="s">
        <v>4</v>
      </c>
      <c r="E36" s="4" t="s">
        <v>107</v>
      </c>
      <c r="F36" s="4" t="s">
        <v>108</v>
      </c>
      <c r="G36" s="5" t="s">
        <v>7</v>
      </c>
      <c r="H36" s="4" t="s">
        <v>8</v>
      </c>
      <c r="I36" s="4" t="s">
        <v>109</v>
      </c>
      <c r="J36" s="4" t="s">
        <v>10</v>
      </c>
    </row>
    <row r="37" ht="15" spans="1:10">
      <c r="A37" s="18" t="s">
        <v>110</v>
      </c>
      <c r="B37" s="19" t="s">
        <v>111</v>
      </c>
      <c r="C37" s="9" t="s">
        <v>112</v>
      </c>
      <c r="D37" s="9" t="s">
        <v>113</v>
      </c>
      <c r="E37" s="8">
        <v>1.49</v>
      </c>
      <c r="F37" s="10">
        <f>1.49/275*330</f>
        <v>1.788</v>
      </c>
      <c r="G37" s="11">
        <f t="shared" ref="G37:G52" si="1">F37*8.1915</f>
        <v>14.646402</v>
      </c>
      <c r="H37" s="8" t="s">
        <v>15</v>
      </c>
      <c r="I37" s="8" t="s">
        <v>114</v>
      </c>
      <c r="J37" s="8" t="s">
        <v>17</v>
      </c>
    </row>
    <row r="38" ht="15" spans="1:10">
      <c r="A38" s="20"/>
      <c r="B38" s="21" t="s">
        <v>115</v>
      </c>
      <c r="C38" s="9" t="s">
        <v>116</v>
      </c>
      <c r="D38" s="9" t="s">
        <v>117</v>
      </c>
      <c r="E38" s="8">
        <v>1.99</v>
      </c>
      <c r="F38" s="10">
        <f>1.99/480*330</f>
        <v>1.368125</v>
      </c>
      <c r="G38" s="11">
        <f t="shared" si="1"/>
        <v>11.2069959375</v>
      </c>
      <c r="H38" s="8" t="s">
        <v>15</v>
      </c>
      <c r="I38" s="8" t="s">
        <v>82</v>
      </c>
      <c r="J38" s="8" t="s">
        <v>17</v>
      </c>
    </row>
    <row r="39" ht="15" spans="1:10">
      <c r="A39" s="20"/>
      <c r="B39" s="22"/>
      <c r="C39" s="9" t="s">
        <v>118</v>
      </c>
      <c r="D39" s="9" t="s">
        <v>28</v>
      </c>
      <c r="E39" s="8">
        <v>1.59</v>
      </c>
      <c r="F39" s="10">
        <f>1.59/500*330</f>
        <v>1.0494</v>
      </c>
      <c r="G39" s="11">
        <f t="shared" si="1"/>
        <v>8.5961601</v>
      </c>
      <c r="H39" s="8" t="s">
        <v>15</v>
      </c>
      <c r="I39" s="8">
        <v>46</v>
      </c>
      <c r="J39" s="8" t="s">
        <v>29</v>
      </c>
    </row>
    <row r="40" ht="15" spans="1:10">
      <c r="A40" s="20"/>
      <c r="B40" s="21" t="s">
        <v>119</v>
      </c>
      <c r="C40" s="9" t="s">
        <v>120</v>
      </c>
      <c r="D40" s="9" t="s">
        <v>74</v>
      </c>
      <c r="E40" s="8">
        <v>1.29</v>
      </c>
      <c r="F40" s="10">
        <f>1.29/330*330</f>
        <v>1.29</v>
      </c>
      <c r="G40" s="11">
        <f t="shared" si="1"/>
        <v>10.567035</v>
      </c>
      <c r="H40" s="8" t="s">
        <v>15</v>
      </c>
      <c r="I40" s="8" t="s">
        <v>87</v>
      </c>
      <c r="J40" s="8" t="s">
        <v>17</v>
      </c>
    </row>
    <row r="41" ht="15" spans="1:10">
      <c r="A41" s="20"/>
      <c r="B41" s="23"/>
      <c r="C41" s="9" t="s">
        <v>121</v>
      </c>
      <c r="D41" s="9" t="s">
        <v>117</v>
      </c>
      <c r="E41" s="8">
        <v>1.69</v>
      </c>
      <c r="F41" s="10">
        <f>1.69/480*330</f>
        <v>1.161875</v>
      </c>
      <c r="G41" s="11">
        <f t="shared" si="1"/>
        <v>9.5174990625</v>
      </c>
      <c r="H41" s="8" t="s">
        <v>15</v>
      </c>
      <c r="I41" s="8">
        <v>108</v>
      </c>
      <c r="J41" s="8" t="s">
        <v>29</v>
      </c>
    </row>
    <row r="42" ht="15" spans="1:10">
      <c r="A42" s="20"/>
      <c r="B42" s="19" t="s">
        <v>18</v>
      </c>
      <c r="C42" s="9" t="s">
        <v>122</v>
      </c>
      <c r="D42" s="9" t="s">
        <v>113</v>
      </c>
      <c r="E42" s="8">
        <v>1.52</v>
      </c>
      <c r="F42" s="10">
        <f>1.52/275*330</f>
        <v>1.824</v>
      </c>
      <c r="G42" s="11">
        <f t="shared" si="1"/>
        <v>14.941296</v>
      </c>
      <c r="H42" s="8" t="s">
        <v>15</v>
      </c>
      <c r="I42" s="8" t="s">
        <v>16</v>
      </c>
      <c r="J42" s="8" t="s">
        <v>17</v>
      </c>
    </row>
    <row r="43" ht="15" spans="1:10">
      <c r="A43" s="20"/>
      <c r="B43" s="19" t="s">
        <v>123</v>
      </c>
      <c r="C43" s="9" t="s">
        <v>124</v>
      </c>
      <c r="D43" s="9" t="s">
        <v>125</v>
      </c>
      <c r="E43" s="8">
        <v>1.19</v>
      </c>
      <c r="F43" s="10">
        <f>1.19/358*330</f>
        <v>1.09692737430168</v>
      </c>
      <c r="G43" s="11">
        <f t="shared" si="1"/>
        <v>8.98548058659218</v>
      </c>
      <c r="H43" s="8" t="s">
        <v>15</v>
      </c>
      <c r="I43" s="8" t="s">
        <v>87</v>
      </c>
      <c r="J43" s="8" t="s">
        <v>17</v>
      </c>
    </row>
    <row r="44" ht="15" spans="1:10">
      <c r="A44" s="20"/>
      <c r="B44" s="19" t="s">
        <v>126</v>
      </c>
      <c r="C44" s="9" t="s">
        <v>127</v>
      </c>
      <c r="D44" s="9" t="s">
        <v>74</v>
      </c>
      <c r="E44" s="8">
        <v>1.18</v>
      </c>
      <c r="F44" s="24">
        <f>1.18/330*330</f>
        <v>1.18</v>
      </c>
      <c r="G44" s="11">
        <f t="shared" si="1"/>
        <v>9.66597</v>
      </c>
      <c r="H44" s="8" t="s">
        <v>15</v>
      </c>
      <c r="I44" s="8">
        <v>3</v>
      </c>
      <c r="J44" s="8" t="s">
        <v>29</v>
      </c>
    </row>
    <row r="45" ht="15" spans="1:10">
      <c r="A45" s="20"/>
      <c r="B45" s="19" t="s">
        <v>128</v>
      </c>
      <c r="C45" s="9" t="s">
        <v>129</v>
      </c>
      <c r="D45" s="9" t="s">
        <v>130</v>
      </c>
      <c r="E45" s="8">
        <v>1.99</v>
      </c>
      <c r="F45" s="10">
        <f>1.99/345*330</f>
        <v>1.90347826086957</v>
      </c>
      <c r="G45" s="11">
        <f t="shared" si="1"/>
        <v>15.592342173913</v>
      </c>
      <c r="H45" s="8" t="s">
        <v>131</v>
      </c>
      <c r="I45" s="8">
        <v>0</v>
      </c>
      <c r="J45" s="8" t="s">
        <v>25</v>
      </c>
    </row>
    <row r="46" ht="15" spans="1:10">
      <c r="A46" s="20"/>
      <c r="B46" s="19" t="s">
        <v>132</v>
      </c>
      <c r="C46" s="9" t="s">
        <v>133</v>
      </c>
      <c r="D46" s="9" t="s">
        <v>134</v>
      </c>
      <c r="E46" s="8">
        <v>15.99</v>
      </c>
      <c r="F46" s="10">
        <f>15.99/330/24*330</f>
        <v>0.66625</v>
      </c>
      <c r="G46" s="11">
        <f t="shared" si="1"/>
        <v>5.457586875</v>
      </c>
      <c r="H46" s="8" t="s">
        <v>51</v>
      </c>
      <c r="I46" s="8" t="s">
        <v>23</v>
      </c>
      <c r="J46" s="8" t="s">
        <v>17</v>
      </c>
    </row>
    <row r="47" ht="15" spans="1:10">
      <c r="A47" s="20"/>
      <c r="B47" s="21" t="s">
        <v>135</v>
      </c>
      <c r="C47" s="9" t="s">
        <v>136</v>
      </c>
      <c r="D47" s="9" t="s">
        <v>31</v>
      </c>
      <c r="E47" s="8">
        <v>1.79</v>
      </c>
      <c r="F47" s="10">
        <f>1.79/250*330</f>
        <v>2.3628</v>
      </c>
      <c r="G47" s="11">
        <f t="shared" si="1"/>
        <v>19.3548762</v>
      </c>
      <c r="H47" s="8" t="s">
        <v>92</v>
      </c>
      <c r="I47" s="8" t="s">
        <v>137</v>
      </c>
      <c r="J47" s="8" t="s">
        <v>17</v>
      </c>
    </row>
    <row r="48" ht="15" spans="1:10">
      <c r="A48" s="20"/>
      <c r="B48" s="23"/>
      <c r="C48" s="9" t="s">
        <v>138</v>
      </c>
      <c r="D48" s="9" t="s">
        <v>31</v>
      </c>
      <c r="E48" s="8">
        <f>1.29-0.25</f>
        <v>1.04</v>
      </c>
      <c r="F48" s="10">
        <f>1.04/250*330</f>
        <v>1.3728</v>
      </c>
      <c r="G48" s="11">
        <f t="shared" si="1"/>
        <v>11.2452912</v>
      </c>
      <c r="H48" s="8" t="s">
        <v>92</v>
      </c>
      <c r="I48" s="8">
        <v>0</v>
      </c>
      <c r="J48" s="8" t="s">
        <v>25</v>
      </c>
    </row>
    <row r="49" ht="15" spans="1:11">
      <c r="A49" s="20"/>
      <c r="B49" s="19" t="s">
        <v>139</v>
      </c>
      <c r="C49" s="9" t="s">
        <v>140</v>
      </c>
      <c r="D49" s="9" t="s">
        <v>141</v>
      </c>
      <c r="E49" s="8">
        <v>0.99</v>
      </c>
      <c r="F49" s="10">
        <f>0.99/240*330</f>
        <v>1.36125</v>
      </c>
      <c r="G49" s="11">
        <f t="shared" si="1"/>
        <v>11.150679375</v>
      </c>
      <c r="H49" s="8" t="s">
        <v>92</v>
      </c>
      <c r="I49" s="8" t="s">
        <v>142</v>
      </c>
      <c r="J49" s="8" t="s">
        <v>17</v>
      </c>
    </row>
    <row r="50" ht="15" spans="1:11">
      <c r="A50" s="20"/>
      <c r="B50" s="19" t="s">
        <v>143</v>
      </c>
      <c r="C50" s="9" t="s">
        <v>144</v>
      </c>
      <c r="D50" s="9" t="s">
        <v>96</v>
      </c>
      <c r="E50" s="8">
        <v>1.99</v>
      </c>
      <c r="F50" s="10">
        <f>1.99/190*330</f>
        <v>3.45631578947368</v>
      </c>
      <c r="G50" s="11">
        <f t="shared" si="1"/>
        <v>28.3124107894737</v>
      </c>
      <c r="H50" s="8" t="s">
        <v>92</v>
      </c>
      <c r="I50" s="8" t="s">
        <v>82</v>
      </c>
      <c r="J50" s="8" t="s">
        <v>17</v>
      </c>
    </row>
    <row r="51" ht="15" spans="1:11">
      <c r="A51" s="20"/>
      <c r="B51" s="21" t="s">
        <v>145</v>
      </c>
      <c r="C51" s="9" t="s">
        <v>146</v>
      </c>
      <c r="D51" s="9" t="s">
        <v>45</v>
      </c>
      <c r="E51" s="8">
        <v>1.59</v>
      </c>
      <c r="F51" s="10">
        <f>1.59/200*330</f>
        <v>2.6235</v>
      </c>
      <c r="G51" s="11">
        <f t="shared" si="1"/>
        <v>21.49040025</v>
      </c>
      <c r="H51" s="8" t="s">
        <v>147</v>
      </c>
      <c r="I51" s="8" t="s">
        <v>82</v>
      </c>
      <c r="J51" s="8" t="s">
        <v>17</v>
      </c>
    </row>
    <row r="52" ht="15" spans="1:11">
      <c r="A52" s="20"/>
      <c r="B52" s="23"/>
      <c r="C52" s="9" t="s">
        <v>148</v>
      </c>
      <c r="D52" s="9" t="s">
        <v>45</v>
      </c>
      <c r="E52" s="8">
        <v>2.79</v>
      </c>
      <c r="F52" s="10">
        <f>2.79/200*330</f>
        <v>4.6035</v>
      </c>
      <c r="G52" s="11">
        <f t="shared" si="1"/>
        <v>37.70957025</v>
      </c>
      <c r="H52" s="8" t="s">
        <v>147</v>
      </c>
      <c r="I52" s="8" t="s">
        <v>68</v>
      </c>
      <c r="J52" s="8" t="s">
        <v>25</v>
      </c>
      <c r="K52" s="15"/>
    </row>
  </sheetData>
  <sheetProtection formatCells="0" insertHyperlinks="0" autoFilter="0"/>
  <mergeCells count="13">
    <mergeCell ref="A3:A35"/>
    <mergeCell ref="A37:A52"/>
    <mergeCell ref="B5:B6"/>
    <mergeCell ref="B7:B8"/>
    <mergeCell ref="B24:B25"/>
    <mergeCell ref="B26:B27"/>
    <mergeCell ref="B28:B30"/>
    <mergeCell ref="B32:B33"/>
    <mergeCell ref="B34:B35"/>
    <mergeCell ref="B38:B39"/>
    <mergeCell ref="B40:B41"/>
    <mergeCell ref="B47:B48"/>
    <mergeCell ref="B51:B5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A02B7E37-CEC0-4786-9FA4-411A3DC596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WWO_wpscloud_20250910221902-5b67da89ae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20260213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傲娇喵星人</cp:lastModifiedBy>
  <dcterms:created xsi:type="dcterms:W3CDTF">2025-09-17T14:12:00Z</dcterms:created>
  <dcterms:modified xsi:type="dcterms:W3CDTF">2026-02-26T09:00:25Z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FBE51283D05E3FA73B51CA68CB3438FF_41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